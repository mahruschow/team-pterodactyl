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34 mA acquisition; 29 mA tracking. Uses acquisition current for planning, without external active antenna. Source: https://www.adafruit.com/product/5440</t>
      </text>
    </comment>
    <comment authorId="0" ref="D3">
      <text>
        <t xml:space="preserve">Estimated bare-board mass: 5 g. Weigh actual assembly before flight.</t>
      </text>
    </comment>
    <comment authorId="0" ref="F5">
      <text>
        <t xml:space="preserve">Estimated 5 mA breakout allowance, not a measured value or datasheet maximum. Bare sensor can draw as little as 0.78 uA, depending on sampling; breakout LED, regulator and I2C draw are additional. Source: https://www.adafruit.com/product/4716</t>
      </text>
    </comment>
    <comment authorId="0" ref="F4">
      <text>
        <t xml:space="preserve">Planning allowance: 15 mA. Bosch typical NDOF sensor current is 12.3 mA; allowance includes breakout overhead. Source: https://www.bosch-sensortec.com/media/boschsensortec/downloads/datasheets/bst-bno055-ds000.pdf</t>
      </text>
    </comment>
    <comment authorId="0" ref="F3">
      <text>
        <t xml:space="preserve">Approx. 100 mA at 600 MHz, before SD card and external sensors. Source: https://www.adafruit.com/product/4622</t>
      </text>
    </comment>
    <comment authorId="0" ref="A2">
      <text>
        <t xml:space="preserve">Assumed solderable mounting board: Adafruit half-size Perma-Proto #1609. Listed price $4.50 and mass 12 g. Currently out of stock. Source: https://www.adafruit.com/product/1609</t>
      </text>
    </comment>
    <comment authorId="0" ref="D5">
      <text>
        <t xml:space="preserve">Estimated breakout mass: 2 g. Vendor page does not publish mass.</t>
      </text>
    </comment>
  </commentList>
</comments>
</file>

<file path=xl/sharedStrings.xml><?xml version="1.0" encoding="utf-8"?>
<sst xmlns="http://schemas.openxmlformats.org/spreadsheetml/2006/main" count="29" uniqueCount="29">
  <si>
    <t>Item</t>
  </si>
  <si>
    <t>Use</t>
  </si>
  <si>
    <t>Cost (USD)</t>
  </si>
  <si>
    <t>Weight (g)</t>
  </si>
  <si>
    <t>Voltage (V)</t>
  </si>
  <si>
    <t>Current (mA)</t>
  </si>
  <si>
    <t>mWatt</t>
  </si>
  <si>
    <t>Watt</t>
  </si>
  <si>
    <t>Watt hours</t>
  </si>
  <si>
    <t xml:space="preserve">Link </t>
  </si>
  <si>
    <t>Board</t>
  </si>
  <si>
    <t>Mounting + wiring</t>
  </si>
  <si>
    <t>n.a.</t>
  </si>
  <si>
    <t>Teensy 4.1</t>
  </si>
  <si>
    <t>Sensor control + SD logging</t>
  </si>
  <si>
    <t>BNO-055</t>
  </si>
  <si>
    <t>Orientation + motion</t>
  </si>
  <si>
    <t>MS-8607</t>
  </si>
  <si>
    <t>Pressure, humidity + temp</t>
  </si>
  <si>
    <t>GLONASS + GPS - PA1616D</t>
  </si>
  <si>
    <t>Position, altitude + time</t>
  </si>
  <si>
    <t>Total</t>
  </si>
  <si>
    <t>Duration (h)</t>
  </si>
  <si>
    <t>Assumptions</t>
  </si>
  <si>
    <t>Board = half-size Perma-Proto. * = estimate.</t>
  </si>
  <si>
    <t>Power basis</t>
  </si>
  <si>
    <t>5 V Teensy. 3.3 V sensors. Excludes SD draw/regulator losses.</t>
  </si>
  <si>
    <t>Cost basis</t>
  </si>
  <si>
    <t>One each. Excludes tax/shipping. Prices checked Oct 7, 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</si>
</sst>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0.00"/>
    <numFmt numFmtId="165" formatCode="0.0"/>
    <numFmt numFmtId="166" formatCode="0.0000"/>
    <numFmt numFmtId="167" formatCode="0.0&quot;*&quot;"/>
  </numFmts>
  <fonts count="3">
    <font>
      <sz val="10.0"/>
      <color rgb="FF000000"/>
      <name val="Arial"/>
      <scheme val="minor"/>
    </font>
    <font>
      <color theme="1"/>
      <name val="Exo 2"/>
    </font>
    <font>
      <u/>
      <color rgb="FF0000FF"/>
      <name val="Exo 2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" displayName="Table_1" name="Table_1" id="1">
  <tableColumns count="10">
    <tableColumn name="Item" id="1"/>
    <tableColumn name="Use" id="2"/>
    <tableColumn name="Cost (USD)" id="3"/>
    <tableColumn name="Weight (g)" id="4"/>
    <tableColumn name="Voltage (V)" id="5"/>
    <tableColumn name="Current (mA)" id="6"/>
    <tableColumn name="mWatt" id="7"/>
    <tableColumn name="Watt" id="8"/>
    <tableColumn name="Watt hours" id="9"/>
    <tableColumn name="Link 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9.5"/>
    <col customWidth="1" min="10" max="1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5">
        <v>30.0</v>
      </c>
      <c r="D2" s="6">
        <v>12.0</v>
      </c>
      <c r="E2" s="6" t="s">
        <v>12</v>
      </c>
      <c r="F2" s="6">
        <v>0.0</v>
      </c>
      <c r="G2" s="7">
        <f>0</f>
        <v>0</v>
      </c>
      <c r="H2" s="8">
        <f t="shared" ref="H2:H6" si="1">G2/1000</f>
        <v>0</v>
      </c>
      <c r="I2" s="8">
        <f t="shared" ref="I2:I6" si="2">H2*$B$10</f>
        <v>0</v>
      </c>
      <c r="J2" s="9" t="str">
        <f>HYPERLINK("https://www.adafruit.com/product/1609","Adafruit")</f>
        <v>Adafruit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4" t="s">
        <v>14</v>
      </c>
      <c r="C3" s="5">
        <v>31.5</v>
      </c>
      <c r="D3" s="10">
        <v>5.0</v>
      </c>
      <c r="E3" s="6">
        <v>5.0</v>
      </c>
      <c r="F3" s="10">
        <v>100.0</v>
      </c>
      <c r="G3" s="7">
        <f t="shared" ref="G3:G6" si="3">E3*F3</f>
        <v>500</v>
      </c>
      <c r="H3" s="8">
        <f t="shared" si="1"/>
        <v>0.5</v>
      </c>
      <c r="I3" s="8">
        <f t="shared" si="2"/>
        <v>1.5</v>
      </c>
      <c r="J3" s="9" t="str">
        <f>HYPERLINK("https://www.sparkfun.com/teensy-4-1.html","SparkFun")</f>
        <v>SparkFun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4" t="s">
        <v>16</v>
      </c>
      <c r="C4" s="5">
        <v>34.95</v>
      </c>
      <c r="D4" s="6">
        <v>3.0</v>
      </c>
      <c r="E4" s="6">
        <v>3.3</v>
      </c>
      <c r="F4" s="10">
        <v>15.0</v>
      </c>
      <c r="G4" s="7">
        <f t="shared" si="3"/>
        <v>49.5</v>
      </c>
      <c r="H4" s="8">
        <f t="shared" si="1"/>
        <v>0.0495</v>
      </c>
      <c r="I4" s="8">
        <f t="shared" si="2"/>
        <v>0.1485</v>
      </c>
      <c r="J4" s="9" t="str">
        <f>HYPERLINK("https://www.adafruit.com/product/2472","Adafruit")</f>
        <v>Adafruit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17</v>
      </c>
      <c r="B5" s="4" t="s">
        <v>18</v>
      </c>
      <c r="C5" s="5">
        <v>14.95</v>
      </c>
      <c r="D5" s="10">
        <v>2.0</v>
      </c>
      <c r="E5" s="6">
        <v>3.3</v>
      </c>
      <c r="F5" s="10">
        <v>5.0</v>
      </c>
      <c r="G5" s="7">
        <f t="shared" si="3"/>
        <v>16.5</v>
      </c>
      <c r="H5" s="8">
        <f t="shared" si="1"/>
        <v>0.0165</v>
      </c>
      <c r="I5" s="8">
        <f t="shared" si="2"/>
        <v>0.0495</v>
      </c>
      <c r="J5" s="9" t="str">
        <f>HYPERLINK("https://www.adafruit.com/product/4716","Adafruit")</f>
        <v>Adafruit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4" t="s">
        <v>20</v>
      </c>
      <c r="C6" s="5">
        <v>29.95</v>
      </c>
      <c r="D6" s="6">
        <v>9.0</v>
      </c>
      <c r="E6" s="6">
        <v>3.3</v>
      </c>
      <c r="F6" s="6">
        <v>34.0</v>
      </c>
      <c r="G6" s="7">
        <f t="shared" si="3"/>
        <v>112.2</v>
      </c>
      <c r="H6" s="8">
        <f t="shared" si="1"/>
        <v>0.1122</v>
      </c>
      <c r="I6" s="8">
        <f t="shared" si="2"/>
        <v>0.3366</v>
      </c>
      <c r="J6" s="9" t="str">
        <f>HYPERLINK("https://www.adafruit.com/product/5440","Adafruit")</f>
        <v>Adafruit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4"/>
      <c r="C7" s="5">
        <f t="shared" ref="C7:D7" si="4">SUM(C2:C6)</f>
        <v>141.35</v>
      </c>
      <c r="D7" s="6">
        <f t="shared" si="4"/>
        <v>31</v>
      </c>
      <c r="E7" s="4"/>
      <c r="F7" s="4"/>
      <c r="G7" s="11"/>
      <c r="H7" s="11"/>
      <c r="I7" s="8">
        <f>SUM(I2:I6)</f>
        <v>2.0346</v>
      </c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22</v>
      </c>
      <c r="B10" s="13">
        <v>3.0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23</v>
      </c>
      <c r="B11" s="12" t="s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25</v>
      </c>
      <c r="B12" s="12" t="s">
        <v>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27</v>
      </c>
      <c r="B13" s="12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2"/>
  <legacyDrawing r:id="rId3"/>
  <tableParts count="1">
    <tablePart r:id="rId5"/>
  </tableParts>
</worksheet>
</file>