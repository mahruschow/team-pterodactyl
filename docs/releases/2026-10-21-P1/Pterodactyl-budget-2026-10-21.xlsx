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556a6e61a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summary" sheetId="1" r:id="Rf8e9d87d6bb3488e"/>
    <x:sheet xmlns:r="http://schemas.openxmlformats.org/officeDocument/2006/relationships" name="Power" sheetId="2" r:id="R6a7e161275894ac0"/>
    <x:sheet xmlns:r="http://schemas.openxmlformats.org/officeDocument/2006/relationships" name="Cost and mass" sheetId="3" r:id="R30099dc8b0e9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"/>
    <x:numFmt numFmtId="202" formatCode="0.0"/>
    <x:numFmt numFmtId="203" formatCode="0.000"/>
    <x:numFmt numFmtId="204" formatCode="0%"/>
    <x:numFmt numFmtId="205" formatCode="@"/>
    <x:numFmt numFmtId="206" formatCode="$#,##0.00;($#,##0.00);&quot;–&quot;"/>
    <x:numFmt numFmtId="207" formatCode="$#,##0.00"/>
  </x:numFmts>
  <x:fonts count="6">
    <x:font>
      <x:sz val="11"/>
      <x:name val="Carlito"/>
    </x:font>
    <x:font>
      <x:sz val="10"/>
      <x:color rgb="FF222B35"/>
      <x:name val="Arial"/>
    </x:font>
    <x:font>
      <x:b/>
      <x:sz val="15"/>
      <x:color rgb="FF20364D"/>
      <x:name val="Arial"/>
    </x:font>
    <x:font>
      <x:b/>
      <x:sz val="10"/>
      <x:color rgb="FFFFFFFF"/>
      <x:name val="Arial"/>
    </x:font>
    <x:font>
      <x:sz val="10"/>
      <x:color rgb="FF245C9C"/>
      <x:name val="Arial"/>
    </x:font>
    <x:font>
      <x:b/>
      <x:sz val="10"/>
      <x:color rgb="FF222B3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6" fontId="4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4dc65047c40e9" /><Relationship Type="http://schemas.openxmlformats.org/officeDocument/2006/relationships/theme" Target="/xl/theme/theme1.xml" Id="R359c45a01103447f" /><Relationship Type="http://schemas.openxmlformats.org/officeDocument/2006/relationships/sharedStrings" Target="/xl/sharedStrings.xml" Id="R10cbac686adf4252" /><Relationship Type="http://schemas.openxmlformats.org/officeDocument/2006/relationships/worksheet" Target="/xl/worksheets/sheet1.xml" Id="Rf8e9d87d6bb3488e" /><Relationship Type="http://schemas.openxmlformats.org/officeDocument/2006/relationships/worksheet" Target="/xl/worksheets/sheet2.xml" Id="R6a7e161275894ac0" /><Relationship Type="http://schemas.openxmlformats.org/officeDocument/2006/relationships/worksheet" Target="/xl/worksheets/sheet3.xml" Id="R30099dc8b0e94f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9" hidden="0" customWidth="1"/>
    <x:col min="3" max="3" width="29" hidden="0" customWidth="1"/>
    <x:col min="4" max="4" width="85" hidden="0" customWidth="1"/>
    <x:col min="5" max="5" width="15" hidden="0" customWidth="1"/>
    <x:col min="6" max="6" width="15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3" customHeight="1">
      <x:c r="A2" s="3" t="str">
        <x:v>PTERODACTYL budget review</x:v>
      </x:c>
      <x:c r="B2" s="3"/>
      <x:c r="C2" s="3"/>
      <x:c r="D2" s="3"/>
      <x:c r="E2" s="3"/>
      <x:c r="F2" s="3"/>
    </x:row>
    <x:row r="3" ht="23" customHeight="1">
      <x:c r="A3" s="2" t="str">
        <x:v>October 21, 2026 | First prototype order preparation</x:v>
      </x:c>
      <x:c r="B3" s="2"/>
      <x:c r="C3" s="2"/>
      <x:c r="D3" s="2"/>
      <x:c r="E3" s="2"/>
      <x:c r="F3" s="2"/>
    </x:row>
    <x:row r="4" ht="23" customHeight="1">
      <x:c r="A4" s="2"/>
      <x:c r="B4" s="2"/>
      <x:c r="C4" s="2"/>
      <x:c r="D4" s="2"/>
      <x:c r="E4" s="2"/>
      <x:c r="F4" s="2"/>
    </x:row>
    <x:row r="5" ht="34" customHeight="1">
      <x:c r="A5" s="7" t="str">
        <x:v>Metric</x:v>
      </x:c>
      <x:c r="B5" s="7" t="str">
        <x:v>Value</x:v>
      </x:c>
      <x:c r="C5" s="7" t="str">
        <x:v>Unit</x:v>
      </x:c>
      <x:c r="D5" s="7" t="str">
        <x:v>Meaning</x:v>
      </x:c>
      <x:c r="E5" s="2"/>
      <x:c r="F5" s="2"/>
    </x:row>
    <x:row r="6" ht="23" customHeight="1">
      <x:c r="A6" s="2" t="str">
        <x:v>5 V average load</x:v>
      </x:c>
      <x:c r="B6" s="24" t="n">
        <x:f>'Power'!D15</x:f>
        <x:v>1.23375</x:v>
      </x:c>
      <x:c r="C6" s="2" t="str">
        <x:v>W</x:v>
      </x:c>
      <x:c r="D6" s="2" t="str">
        <x:v>Includes added 3.3 V linear-regulator loss</x:v>
      </x:c>
      <x:c r="E6" s="2"/>
      <x:c r="F6" s="2"/>
    </x:row>
    <x:row r="7" ht="23" customHeight="1">
      <x:c r="A7" s="2" t="str">
        <x:v>Battery average input</x:v>
      </x:c>
      <x:c r="B7" s="24" t="n">
        <x:f>'Power'!D37</x:f>
        <x:v>1.618300653594771</x:v>
      </x:c>
      <x:c r="C7" s="2" t="str">
        <x:v>W</x:v>
      </x:c>
      <x:c r="D7" s="2" t="str">
        <x:v>85% conversion + provisional 90% path efficiency; see resistance screening</x:v>
      </x:c>
      <x:c r="E7" s="2"/>
      <x:c r="F7" s="2"/>
    </x:row>
    <x:row r="8" ht="23" customHeight="1">
      <x:c r="A8" s="2" t="str">
        <x:v>Battery peak screening input</x:v>
      </x:c>
      <x:c r="B8" s="24" t="n">
        <x:f>'Power'!E37</x:f>
        <x:v>3.567647058823529</x:v>
      </x:c>
      <x:c r="C8" s="2" t="str">
        <x:v>W</x:v>
      </x:c>
      <x:c r="D8" s="2" t="str">
        <x:v>Assumed simultaneous loads; measure startup/write peaks</x:v>
      </x:c>
      <x:c r="E8" s="2"/>
      <x:c r="F8" s="2"/>
    </x:row>
    <x:row r="9" ht="23" customHeight="1">
      <x:c r="A9" s="2" t="str">
        <x:v>Known-cost subtotal</x:v>
      </x:c>
      <x:c r="B9" s="25" t="n">
        <x:f>'Cost and mass'!D29</x:f>
        <x:v>129.37</x:v>
      </x:c>
      <x:c r="C9" s="2" t="str">
        <x:v>USD</x:v>
      </x:c>
      <x:c r="D9" s="2" t="str">
        <x:v>Excludes all currently unpriced items</x:v>
      </x:c>
      <x:c r="E9" s="2"/>
      <x:c r="F9" s="2"/>
    </x:row>
    <x:row r="10" ht="23" customHeight="1">
      <x:c r="A10" s="2" t="str">
        <x:v>Complete procurement budget</x:v>
      </x:c>
      <x:c r="B10" s="25" t="str">
        <x:f>'Cost and mass'!D30</x:f>
        <x:v>Incomplete</x:v>
      </x:c>
      <x:c r="C10" s="2" t="str">
        <x:v>USD</x:v>
      </x:c>
      <x:c r="D10" s="2" t="str">
        <x:v>Supplier quotes, tools, shipping and taxes remain incomplete</x:v>
      </x:c>
      <x:c r="E10" s="2"/>
      <x:c r="F10" s="2"/>
    </x:row>
    <x:row r="11" ht="23" customHeight="1">
      <x:c r="A11" s="2" t="str">
        <x:v>Mass subtotal with inputs</x:v>
      </x:c>
      <x:c r="B11" s="14" t="n">
        <x:f>'Cost and mass'!F32</x:f>
        <x:v>170.25</x:v>
      </x:c>
      <x:c r="C11" s="2" t="str">
        <x:v>g</x:v>
      </x:c>
      <x:c r="D11" s="2" t="str">
        <x:v>Includes allowances; see missing mass lines</x:v>
      </x:c>
      <x:c r="E11" s="2"/>
      <x:c r="F11" s="2"/>
    </x:row>
    <x:row r="12" ht="23" customHeight="1">
      <x:c r="A12" s="2" t="str">
        <x:v>Complete installed mass</x:v>
      </x:c>
      <x:c r="B12" s="14" t="str">
        <x:f>'Cost and mass'!F33</x:f>
        <x:v>Incomplete</x:v>
      </x:c>
      <x:c r="C12" s="2" t="str">
        <x:v>g</x:v>
      </x:c>
      <x:c r="D12" s="2" t="str">
        <x:v>Complete only when all mass inputs are supplied</x:v>
      </x:c>
      <x:c r="E12" s="2"/>
      <x:c r="F12" s="2"/>
    </x:row>
    <x:row r="13" ht="23" customHeight="1">
      <x:c r="A13" s="15" t="str">
        <x:v>Required runtime energy target</x:v>
      </x:c>
      <x:c r="B13" s="27" t="n">
        <x:f>'Power'!D39</x:f>
        <x:v>8.669467787114845</x:v>
      </x:c>
      <x:c r="C13" s="15" t="str">
        <x:v>Wh</x:v>
      </x:c>
      <x:c r="D13" s="15" t="str">
        <x:v>3 h confirmed; includes proposed reserve and usable-energy allowances</x:v>
      </x:c>
      <x:c r="E13" s="2"/>
      <x:c r="F13" s="2"/>
    </x:row>
    <x:row r="14" ht="23" customHeight="1">
      <x:c r="A14" s="2"/>
      <x:c r="B14" s="2"/>
      <x:c r="C14" s="2"/>
      <x:c r="D14" s="2"/>
      <x:c r="E14" s="2"/>
      <x:c r="F14" s="2"/>
    </x:row>
    <x:row r="15" ht="34" customHeight="1">
      <x:c r="A15" s="7" t="str">
        <x:v>Total powered runtime (h)</x:v>
      </x:c>
      <x:c r="B15" s="7" t="str">
        <x:v>Battery energy used (Wh)</x:v>
      </x:c>
      <x:c r="C15" s="7" t="str">
        <x:v>Nameplate energy target (Wh)</x:v>
      </x:c>
      <x:c r="D15" s="2"/>
      <x:c r="E15" s="2"/>
      <x:c r="F15" s="2"/>
    </x:row>
    <x:row r="16" ht="23" customHeight="1">
      <x:c r="A16" s="12" t="n">
        <x:v>2</x:v>
      </x:c>
      <x:c r="B16" s="24" t="n">
        <x:f>IF(ISNUMBER('Power'!D37),A16*'Power'!D37,"Missing")</x:f>
        <x:v>3.236601307189542</x:v>
      </x:c>
      <x:c r="C16" s="24" t="n">
        <x:f>IF(ISNUMBER('Power'!D38),A16*'Power'!D38,"Missing")</x:f>
        <x:v>5.779645191409897</x:v>
      </x:c>
      <x:c r="D16" s="2" t="str">
        <x:v>3 h is the confirmed runtime; other durations are comparisons.</x:v>
      </x:c>
      <x:c r="E16" s="2"/>
      <x:c r="F16" s="2"/>
    </x:row>
    <x:row r="17" ht="23" customHeight="1">
      <x:c r="A17" s="12" t="n">
        <x:v>3</x:v>
      </x:c>
      <x:c r="B17" s="24" t="n">
        <x:f>IF(ISNUMBER('Power'!D37),A17*'Power'!D37,"Missing")</x:f>
        <x:v>4.854901960784313</x:v>
      </x:c>
      <x:c r="C17" s="24" t="n">
        <x:f>IF(ISNUMBER('Power'!D38),A17*'Power'!D38,"Missing")</x:f>
        <x:v>8.669467787114845</x:v>
      </x:c>
      <x:c r="D17" s="2" t="str">
        <x:v>Nameplate target includes 25% reserve and 70% usable energy.</x:v>
      </x:c>
      <x:c r="E17" s="2"/>
      <x:c r="F17" s="2"/>
    </x:row>
    <x:row r="18" ht="23" customHeight="1">
      <x:c r="A18" s="12" t="n">
        <x:v>4</x:v>
      </x:c>
      <x:c r="B18" s="24" t="n">
        <x:f>IF(ISNUMBER('Power'!D37),A18*'Power'!D37,"Missing")</x:f>
        <x:v>6.473202614379084</x:v>
      </x:c>
      <x:c r="C18" s="24" t="n">
        <x:f>IF(ISNUMBER('Power'!D38),A18*'Power'!D38,"Missing")</x:f>
        <x:v>11.559290382819794</x:v>
      </x:c>
      <x:c r="D18" s="2" t="str">
        <x:v>Temperature/cutoff derating must be replaced with pack-specific evidence.</x:v>
      </x:c>
      <x:c r="E18" s="2"/>
      <x:c r="F18" s="2"/>
    </x:row>
    <x:row r="19" ht="23" customHeight="1">
      <x:c r="A19" s="12" t="n">
        <x:v>6</x:v>
      </x:c>
      <x:c r="B19" s="24" t="n">
        <x:f>IF(ISNUMBER('Power'!D37),A19*'Power'!D37,"Missing")</x:f>
        <x:v>9.709803921568627</x:v>
      </x:c>
      <x:c r="C19" s="24" t="n">
        <x:f>IF(ISNUMBER('Power'!D38),A19*'Power'!D38,"Missing")</x:f>
        <x:v>17.33893557422969</x:v>
      </x:c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34" customHeight="1">
      <x:c r="A22" s="7" t="str">
        <x:v>Team review / follow-up</x:v>
      </x:c>
      <x:c r="B22" s="7" t="str">
        <x:v>Review status as of 2026-10-21</x:v>
      </x:c>
      <x:c r="C22" s="2"/>
      <x:c r="D22" s="2"/>
      <x:c r="E22" s="2"/>
      <x:c r="F22" s="2"/>
    </x:row>
    <x:row r="23" ht="38" customHeight="1">
      <x:c r="A23" s="26" t="str">
        <x:v>Runtime / minimum battery temperature</x:v>
      </x:c>
      <x:c r="B23" s="26" t="str">
        <x:v>3 h / -40 °C confirmed</x:v>
      </x:c>
      <x:c r="C23" s="2"/>
      <x:c r="D23" s="2"/>
      <x:c r="E23" s="2"/>
      <x:c r="F23" s="2"/>
    </x:row>
    <x:row r="24" ht="38" customHeight="1">
      <x:c r="A24" s="26" t="str">
        <x:v>Battery pack and cutoff</x:v>
      </x:c>
      <x:c r="B24" s="26" t="str">
        <x:v>4 L91 + BH4AAW selected for first build</x:v>
      </x:c>
      <x:c r="C24" s="2"/>
      <x:c r="D24" s="2"/>
      <x:c r="E24" s="2"/>
      <x:c r="F24" s="2"/>
    </x:row>
    <x:row r="25" ht="38" customHeight="1">
      <x:c r="A25" s="26" t="str">
        <x:v>SD model / measured current</x:v>
      </x:c>
      <x:c r="B25" s="26" t="str">
        <x:v>SDCIT2/8GB selected; current unmeasured</x:v>
      </x:c>
      <x:c r="C25" s="2"/>
      <x:c r="D25" s="2"/>
      <x:c r="E25" s="2"/>
      <x:c r="F25" s="2"/>
    </x:row>
    <x:row r="26" ht="38" customHeight="1">
      <x:c r="A26" s="26" t="str">
        <x:v>0.7 A PTC and power path</x:v>
      </x:c>
      <x:c r="B26" s="26" t="str">
        <x:v>Retained for P1; low-voltage limits documented</x:v>
      </x:c>
      <x:c r="C26" s="2"/>
      <x:c r="D26" s="2"/>
      <x:c r="E26" s="2"/>
      <x:c r="F26" s="2"/>
    </x:row>
    <x:row r="27" ht="38" customHeight="1">
      <x:c r="A27" s="26" t="str">
        <x:v>Package dimensions</x:v>
      </x:c>
      <x:c r="B27" s="26" t="str">
        <x:v>Casing deferred beyond first prototype</x:v>
      </x:c>
      <x:c r="C27" s="2"/>
      <x:c r="D27" s="2"/>
      <x:c r="E27" s="2"/>
      <x:c r="F27" s="2"/>
    </x:row>
    <x:row r="28" ht="38" customHeight="1">
      <x:c r="A28" s="26" t="str">
        <x:v>Quoted cost / measured mass</x:v>
      </x:c>
      <x:c r="B28" s="26" t="str">
        <x:v>Incomplete</x:v>
      </x:c>
      <x:c r="C28" s="2"/>
      <x:c r="D28" s="2"/>
      <x:c r="E28" s="2"/>
      <x:c r="F28" s="2"/>
    </x:row>
    <x:row r="29" ht="38" customHeight="1">
      <x:c r="A29" s="26" t="str">
        <x:v>Release readiness</x:v>
      </x:c>
      <x:c r="B29" s="26" t="str">
        <x:v>PCB checks pass; AISLER checkout ready</x:v>
      </x:c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  <x:row r="31" ht="23" customHeight="1">
      <x:c r="A31" s="2" t="str">
        <x:v>Next: sign in to AISLER, confirm delivered quote, order PCB and parts, then assemble the first prototype.</x:v>
      </x:c>
      <x:c r="B31" s="2"/>
      <x:c r="C31" s="2"/>
      <x:c r="D31" s="2"/>
      <x:c r="E31" s="2"/>
      <x:c r="F31" s="2"/>
    </x:row>
    <x:row r="32" ht="23" customHeight="1">
      <x:c r="A32" s="2" t="str">
        <x:v>Physical testing, flight qualification and later revisions are outside the current project scope.</x:v>
      </x:c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23" hidden="0" customWidth="1"/>
    <x:col min="5" max="5" width="23" hidden="0" customWidth="1"/>
    <x:col min="6" max="6" width="15" hidden="0" customWidth="1"/>
    <x:col min="7" max="7" width="15" hidden="0" customWidth="1"/>
    <x:col min="8" max="8" width="26" hidden="0" customWidth="1"/>
    <x:col min="9" max="9" width="15" hidden="0" customWidth="1"/>
    <x:col min="10" max="10" width="15" hidden="0" customWidth="1"/>
    <x:col min="11" max="11" width="105" hidden="0" customWidth="1"/>
    <x:col min="12" max="12" width="100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PTERODACTYL power budget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2" t="str">
        <x:v>Planning allowances, not measured limits. 600 MHz, continuous logging; no telemetry or heater.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4" customHeight="1">
      <x:c r="A4" s="7" t="str">
        <x:v>Load / reference</x:v>
      </x:c>
      <x:c r="B4" s="7" t="str">
        <x:v>Qty</x:v>
      </x:c>
      <x:c r="C4" s="7" t="str">
        <x:v>Rail V</x:v>
      </x:c>
      <x:c r="D4" s="7" t="str">
        <x:v>Avg mA/unit</x:v>
      </x:c>
      <x:c r="E4" s="7" t="str">
        <x:v>Peak mA/unit</x:v>
      </x:c>
      <x:c r="F4" s="7" t="str">
        <x:v>Avg load W</x:v>
      </x:c>
      <x:c r="G4" s="7" t="str">
        <x:v>5 V avg mA</x:v>
      </x:c>
      <x:c r="H4" s="7" t="str">
        <x:v>5 V peak mA</x:v>
      </x:c>
      <x:c r="I4" s="7" t="str">
        <x:v>Supply group</x:v>
      </x:c>
      <x:c r="J4" s="2"/>
      <x:c r="K4" s="7" t="str">
        <x:v>Basis / action</x:v>
      </x:c>
      <x:c r="L4" s="7" t="str">
        <x:v>Source, checked 2026-10-20</x:v>
      </x:c>
    </x:row>
    <x:row r="5" ht="46" customHeight="1">
      <x:c r="A5" s="2" t="str">
        <x:v>Teensy 4.1 base / U1</x:v>
      </x:c>
      <x:c r="B5" s="11" t="n">
        <x:v>1</x:v>
      </x:c>
      <x:c r="C5" s="12" t="n">
        <x:v>5</x:v>
      </x:c>
      <x:c r="D5" s="10" t="n">
        <x:v>150</x:v>
      </x:c>
      <x:c r="E5" s="10" t="n">
        <x:v>250</x:v>
      </x:c>
      <x:c r="F5" s="13" t="n">
        <x:f>IF(COUNT(B5:E5)=4,B5*C5*D5/1000,"Missing")</x:f>
        <x:v>0.75</x:v>
      </x:c>
      <x:c r="G5" s="14" t="n">
        <x:f>IF(COUNT(B5:E5)=4,B5*D5,"Missing")</x:f>
        <x:v>150</x:v>
      </x:c>
      <x:c r="H5" s="14" t="n">
        <x:f>IF(COUNT(B5:E5)=4,B5*E5,"Missing")</x:f>
        <x:v>250</x:v>
      </x:c>
      <x:c r="I5" s="2" t="str">
        <x:v>Controller</x:v>
      </x:c>
      <x:c r="J5" s="2"/>
      <x:c r="K5" s="26" t="str">
        <x:v>150/250 mA allowances excluding card/sensors. PJRC text cites 4.0, not a 4.1 maximum. Measure firmware load.</x:v>
      </x:c>
      <x:c r="L5" s="26" t="str">
        <x:v>https://www.pjrc.com/store/teensy41.html</x:v>
      </x:c>
    </x:row>
    <x:row r="6" ht="46" customHeight="1">
      <x:c r="A6" s="2" t="str">
        <x:v>microSD card / U1 socket</x:v>
      </x:c>
      <x:c r="B6" s="11" t="n">
        <x:v>1</x:v>
      </x:c>
      <x:c r="C6" s="12" t="n">
        <x:v>3.3</x:v>
      </x:c>
      <x:c r="D6" s="10" t="n">
        <x:v>30</x:v>
      </x:c>
      <x:c r="E6" s="10" t="n">
        <x:v>200</x:v>
      </x:c>
      <x:c r="F6" s="13" t="n">
        <x:f>IF(COUNT(B6:E6)=4,B6*C6*D6/1000,"Missing")</x:f>
        <x:v>0.099</x:v>
      </x:c>
      <x:c r="G6" s="14" t="n">
        <x:f>IF(COUNT(B6:E6)=4,B6*D6,"Missing")</x:f>
        <x:v>30</x:v>
      </x:c>
      <x:c r="H6" s="14" t="n">
        <x:f>IF(COUNT(B6:E6)=4,B6*E6,"Missing")</x:f>
        <x:v>200</x:v>
      </x:c>
      <x:c r="I6" s="2" t="str">
        <x:v>Onboard SD</x:v>
      </x:c>
      <x:c r="J6" s="2"/>
      <x:c r="K6" s="26" t="str">
        <x:v>Kingston SDCIT2/8GB selected for prototype; 30/200 mA remain allowances, not published limits.</x:v>
      </x:c>
      <x:c r="L6" s="26" t="str">
        <x:v>https://www.kingston.com/datasheets/SDCIT2_en.pdf</x:v>
      </x:c>
    </x:row>
    <x:row r="7" ht="46" customHeight="1">
      <x:c r="A7" s="2" t="str">
        <x:v>BNO055 #2472 / U3</x:v>
      </x:c>
      <x:c r="B7" s="11" t="n">
        <x:v>1</x:v>
      </x:c>
      <x:c r="C7" s="12" t="n">
        <x:v>3.3</x:v>
      </x:c>
      <x:c r="D7" s="10" t="n">
        <x:v>20</x:v>
      </x:c>
      <x:c r="E7" s="10" t="n">
        <x:v>25</x:v>
      </x:c>
      <x:c r="F7" s="13" t="n">
        <x:f>IF(COUNT(B7:E7)=4,B7*C7*D7/1000,"Missing")</x:f>
        <x:v>0.066</x:v>
      </x:c>
      <x:c r="G7" s="14" t="n">
        <x:f>IF(COUNT(B7:E7)=4,B7*D7,"Missing")</x:f>
        <x:v>20</x:v>
      </x:c>
      <x:c r="H7" s="14" t="n">
        <x:f>IF(COUNT(B7:E7)=4,B7*E7,"Missing")</x:f>
        <x:v>25</x:v>
      </x:c>
      <x:c r="I7" s="2" t="str">
        <x:v>External</x:v>
      </x:c>
      <x:c r="J7" s="2"/>
      <x:c r="K7" s="26" t="str">
        <x:v>20/25 mA breakout allowances. Bosch lists 12.3 mA for chip 9DOF; allowance includes board overhead.</x:v>
      </x:c>
      <x:c r="L7" s="26" t="str">
        <x:v>https://www.bosch-sensortec.com/media/boschsensortec/downloads/promotion_material/product-selector-en.pdf</x:v>
      </x:c>
    </x:row>
    <x:row r="8" ht="46" customHeight="1">
      <x:c r="A8" s="2" t="str">
        <x:v>GPS #5440 / U5</x:v>
      </x:c>
      <x:c r="B8" s="11" t="n">
        <x:v>1</x:v>
      </x:c>
      <x:c r="C8" s="12" t="n">
        <x:v>3.3</x:v>
      </x:c>
      <x:c r="D8" s="10" t="n">
        <x:v>35</x:v>
      </x:c>
      <x:c r="E8" s="10" t="n">
        <x:v>50</x:v>
      </x:c>
      <x:c r="F8" s="13" t="n">
        <x:f>IF(COUNT(B8:E8)=4,B8*C8*D8/1000,"Missing")</x:f>
        <x:v>0.1155</x:v>
      </x:c>
      <x:c r="G8" s="14" t="n">
        <x:f>IF(COUNT(B8:E8)=4,B8*D8,"Missing")</x:f>
        <x:v>35</x:v>
      </x:c>
      <x:c r="H8" s="14" t="n">
        <x:f>IF(COUNT(B8:E8)=4,B8*E8,"Missing")</x:f>
        <x:v>50</x:v>
      </x:c>
      <x:c r="I8" s="2" t="str">
        <x:v>External</x:v>
      </x:c>
      <x:c r="J8" s="2"/>
      <x:c r="K8" s="26" t="str">
        <x:v>35/50 mA allowances. Published navigation/acquisition: 29/34 mA. Internal antenna only.</x:v>
      </x:c>
      <x:c r="L8" s="26" t="str">
        <x:v>https://www.adafruit.com/product/5440</x:v>
      </x:c>
    </x:row>
    <x:row r="9" ht="46" customHeight="1">
      <x:c r="A9" s="2" t="str">
        <x:v>MS8607 #4716 / U4</x:v>
      </x:c>
      <x:c r="B9" s="11" t="n">
        <x:v>1</x:v>
      </x:c>
      <x:c r="C9" s="12" t="n">
        <x:v>3.3</x:v>
      </x:c>
      <x:c r="D9" s="10" t="n">
        <x:v>2</x:v>
      </x:c>
      <x:c r="E9" s="10" t="n">
        <x:v>5</x:v>
      </x:c>
      <x:c r="F9" s="13" t="n">
        <x:f>IF(COUNT(B9:E9)=4,B9*C9*D9/1000,"Missing")</x:f>
        <x:v>0.0066</x:v>
      </x:c>
      <x:c r="G9" s="14" t="n">
        <x:f>IF(COUNT(B9:E9)=4,B9*D9,"Missing")</x:f>
        <x:v>2</x:v>
      </x:c>
      <x:c r="H9" s="14" t="n">
        <x:f>IF(COUNT(B9:E9)=4,B9*E9,"Missing")</x:f>
        <x:v>5</x:v>
      </x:c>
      <x:c r="I9" s="2" t="str">
        <x:v>External</x:v>
      </x:c>
      <x:c r="J9" s="2"/>
      <x:c r="K9" s="26" t="str">
        <x:v>2/5 mA breakout allowances; do not equate sensor low-power figure with whole-board current.</x:v>
      </x:c>
      <x:c r="L9" s="26" t="str">
        <x:v>https://www.adafruit.com/product/4716</x:v>
      </x:c>
    </x:row>
    <x:row r="10" ht="46" customHeight="1">
      <x:c r="A10" s="2" t="str">
        <x:v>Status LEDs / D2–D5</x:v>
      </x:c>
      <x:c r="B10" s="11" t="n">
        <x:v>4</x:v>
      </x:c>
      <x:c r="C10" s="12" t="n">
        <x:v>3.3</x:v>
      </x:c>
      <x:c r="D10" s="24" t="n">
        <x:f>(C10-$B$29)/$B$30*1000</x:f>
        <x:v>2.1874999999999996</x:v>
      </x:c>
      <x:c r="E10" s="24" t="n">
        <x:f>3</x:f>
        <x:v>3</x:v>
      </x:c>
      <x:c r="F10" s="13" t="n">
        <x:f>IF(COUNT(B10:E10)=4,B10*C10*D10/1000,"Missing")</x:f>
        <x:v>0.028874999999999994</x:v>
      </x:c>
      <x:c r="G10" s="14" t="n">
        <x:f>IF(COUNT(B10:E10)=4,B10*D10,"Missing")</x:f>
        <x:v>8.749999999999998</x:v>
      </x:c>
      <x:c r="H10" s="14" t="n">
        <x:f>IF(COUNT(B10:E10)=4,B10*E10,"Missing")</x:f>
        <x:v>12</x:v>
      </x:c>
      <x:c r="I10" s="2" t="str">
        <x:v>External</x:v>
      </x:c>
      <x:c r="J10" s="2"/>
      <x:c r="K10" s="26" t="str">
        <x:v>All four on: typical Vf red 1.70, yellow 1.85, green 1.90, orange 1.80 V at 2 mA. Peak 3 mA/LED is an allowance.</x:v>
      </x:c>
      <x:c r="L10" s="26" t="str">
        <x:v>Kingbright WP7113LID, WP7113LYD, WP7113LGD, WP7113LSECK/J4 datasheets; tools/component_selections.py</x:v>
      </x:c>
    </x:row>
    <x:row r="11" ht="46" customHeight="1">
      <x:c r="A11" s="2" t="str">
        <x:v>I2C + control pull-ups</x:v>
      </x:c>
      <x:c r="B11" s="11" t="n">
        <x:v>1</x:v>
      </x:c>
      <x:c r="C11" s="12" t="n">
        <x:v>3.3</x:v>
      </x:c>
      <x:c r="D11" s="10" t="n">
        <x:v>1</x:v>
      </x:c>
      <x:c r="E11" s="10" t="n">
        <x:v>3</x:v>
      </x:c>
      <x:c r="F11" s="13" t="n">
        <x:f>IF(COUNT(B11:E11)=4,B11*C11*D11/1000,"Missing")</x:f>
        <x:v>0.0033</x:v>
      </x:c>
      <x:c r="G11" s="14" t="n">
        <x:f>IF(COUNT(B11:E11)=4,B11*D11,"Missing")</x:f>
        <x:v>1</x:v>
      </x:c>
      <x:c r="H11" s="14" t="n">
        <x:f>IF(COUNT(B11:E11)=4,B11*E11,"Missing")</x:f>
        <x:v>3</x:v>
      </x:c>
      <x:c r="I11" s="2" t="str">
        <x:v>External</x:v>
      </x:c>
      <x:c r="J11" s="2"/>
      <x:c r="K11" s="26" t="str">
        <x:v>1/3 mA combined allowance; verify parallel breakout pull-ups and asserted input loads.</x:v>
      </x:c>
      <x:c r="L11" s="26" t="str">
        <x:v>Current v4 schematic; engineering assumption</x:v>
      </x:c>
    </x:row>
    <x:row r="12" ht="23" customHeight="1">
      <x:c r="A12" s="2"/>
      <x:c r="B12" s="2"/>
      <x:c r="C12" s="2"/>
      <x:c r="D12" s="2"/>
      <x:c r="E12" s="2"/>
      <x:c r="F12" s="13"/>
      <x:c r="G12" s="14"/>
      <x:c r="H12" s="14"/>
      <x:c r="I12" s="2"/>
      <x:c r="J12" s="2"/>
      <x:c r="K12" s="2"/>
      <x:c r="L12" s="2"/>
    </x:row>
    <x:row r="13" ht="23" customHeight="1">
      <x:c r="A13" s="15" t="str">
        <x:v>Total load / current</x:v>
      </x:c>
      <x:c r="B13" s="15"/>
      <x:c r="C13" s="15"/>
      <x:c r="D13" s="15"/>
      <x:c r="E13" s="15"/>
      <x:c r="F13" s="16" t="n">
        <x:f>IF(COUNT(F5:F11)=7,SUM(F5:F11),"Missing")</x:f>
        <x:v>1.069275</x:v>
      </x:c>
      <x:c r="G13" s="17" t="n">
        <x:f>IF(COUNT(G5:G11)=7,SUM(G5:G11),"Missing")</x:f>
        <x:v>246.75</x:v>
      </x:c>
      <x:c r="H13" s="17" t="n">
        <x:f>IF(COUNT(H5:H11)=7,SUM(H5:H11),"Missing")</x:f>
        <x:v>545</x:v>
      </x:c>
      <x:c r="I13" s="15"/>
      <x:c r="J13" s="2"/>
      <x:c r="K13" s="2"/>
      <x:c r="L13" s="2"/>
    </x:row>
    <x:row r="14" ht="23" customHeight="1">
      <x:c r="A14" s="2"/>
      <x:c r="B14" s="2"/>
      <x:c r="C14" s="2"/>
      <x:c r="D14" s="15" t="str">
        <x:v>Average</x:v>
      </x:c>
      <x:c r="E14" s="15" t="str">
        <x:v>Peak allowance</x:v>
      </x:c>
      <x:c r="F14" s="2"/>
      <x:c r="G14" s="14"/>
      <x:c r="H14" s="14"/>
      <x:c r="I14" s="2"/>
      <x:c r="J14" s="2"/>
      <x:c r="K14" s="2"/>
      <x:c r="L14" s="2"/>
    </x:row>
    <x:row r="15" ht="23" customHeight="1">
      <x:c r="A15" s="2" t="str">
        <x:v>5 V regulator output power (W)</x:v>
      </x:c>
      <x:c r="B15" s="2"/>
      <x:c r="C15" s="2"/>
      <x:c r="D15" s="13" t="n">
        <x:f>IF(ISNUMBER(G13),5*G13/1000,"Missing")</x:f>
        <x:v>1.23375</x:v>
      </x:c>
      <x:c r="E15" s="13" t="n">
        <x:f>IF(ISNUMBER(H13),5*H13/1000,"Missing")</x:f>
        <x:v>2.725</x:v>
      </x:c>
      <x:c r="F15" s="2"/>
      <x:c r="G15" s="14"/>
      <x:c r="H15" s="14"/>
      <x:c r="I15" s="2"/>
      <x:c r="J15" s="2"/>
      <x:c r="K15" s="2" t="str">
        <x:v>3.3 V loads draw approximately the same current through the Teensy linear regulator.</x:v>
      </x:c>
      <x:c r="L15" s="2"/>
    </x:row>
    <x:row r="16" ht="23" customHeight="1">
      <x:c r="A16" s="2" t="str">
        <x:v>Added 5 → 3.3 V LDO heat (W)</x:v>
      </x:c>
      <x:c r="B16" s="2"/>
      <x:c r="C16" s="2"/>
      <x:c r="D16" s="13" t="n">
        <x:f>IF(COUNT(G6:G11)=6,(5-3.3)*SUM(G6:G11)/1000,"Missing")</x:f>
        <x:v>0.164475</x:v>
      </x:c>
      <x:c r="E16" s="13" t="n">
        <x:f>IF(COUNT(H6:H11)=6,(5-3.3)*SUM(H6:H11)/1000,"Missing")</x:f>
        <x:v>0.5015000000000001</x:v>
      </x:c>
      <x:c r="F16" s="2"/>
      <x:c r="G16" s="14"/>
      <x:c r="H16" s="14"/>
      <x:c r="I16" s="2"/>
      <x:c r="J16" s="2"/>
      <x:c r="K16" s="2" t="str">
        <x:v>This heat is already included in 5 V input power. Do not add it twice.</x:v>
      </x:c>
      <x:c r="L16" s="2"/>
    </x:row>
    <x:row r="17" ht="23" customHeight="1">
      <x:c r="A17" s="2" t="str">
        <x:v>External 3.3 V current (mA)</x:v>
      </x:c>
      <x:c r="B17" s="2"/>
      <x:c r="C17" s="2"/>
      <x:c r="D17" s="14" t="n">
        <x:f>IF(COUNT(G7:G11)=5,SUM(G7:G11),"Missing")</x:f>
        <x:v>66.75</x:v>
      </x:c>
      <x:c r="E17" s="14" t="n">
        <x:f>IF(COUNT(H7:H11)=5,SUM(H7:H11),"Missing")</x:f>
        <x:v>95</x:v>
      </x:c>
      <x:c r="F17" s="2"/>
      <x:c r="G17" s="14"/>
      <x:c r="H17" s="14"/>
      <x:c r="I17" s="2"/>
      <x:c r="J17" s="2"/>
      <x:c r="K17" s="2"/>
      <x:c r="L17" s="2"/>
    </x:row>
    <x:row r="18" ht="23" customHeight="1">
      <x:c r="A18" s="2" t="str">
        <x:v>External 3.3 V guidance (mA)</x:v>
      </x:c>
      <x:c r="B18" s="2"/>
      <x:c r="C18" s="2"/>
      <x:c r="D18" s="14" t="n">
        <x:v>250</x:v>
      </x:c>
      <x:c r="E18" s="14"/>
      <x:c r="F18" s="2"/>
      <x:c r="G18" s="14"/>
      <x:c r="H18" s="14"/>
      <x:c r="I18" s="2"/>
      <x:c r="J18" s="2"/>
      <x:c r="K18" s="2" t="str">
        <x:v>PJRC external-pin recommendation; onboard SD still contributes to regulator heating.</x:v>
      </x:c>
      <x:c r="L18" s="2" t="str">
        <x:v>https://www.pjrc.com/store/teensy41.html</x:v>
      </x:c>
    </x:row>
    <x:row r="19" ht="23" customHeight="1">
      <x:c r="A19" s="2" t="str">
        <x:v>External current headroom (mA)</x:v>
      </x:c>
      <x:c r="B19" s="2"/>
      <x:c r="C19" s="2"/>
      <x:c r="D19" s="14" t="n">
        <x:f>IF(ISNUMBER(D17),D18-D17,"Missing")</x:f>
        <x:v>183.25</x:v>
      </x:c>
      <x:c r="E19" s="14" t="n">
        <x:f>IF(ISNUMBER(E17),D18-E17,"Missing")</x:f>
        <x:v>155</x:v>
      </x:c>
      <x:c r="F19" s="2"/>
      <x:c r="G19" s="14"/>
      <x:c r="H19" s="14"/>
      <x:c r="I19" s="2"/>
      <x:c r="J19" s="2"/>
      <x:c r="K19" s="2"/>
      <x:c r="L19" s="2"/>
    </x:row>
    <x:row r="20" ht="23" customHeight="1">
      <x:c r="A20" s="2" t="str">
        <x:v>3.3 V added load including SD (mA)</x:v>
      </x:c>
      <x:c r="B20" s="2"/>
      <x:c r="C20" s="2"/>
      <x:c r="D20" s="14" t="n">
        <x:f>IF(COUNT(G6:G11)=6,SUM(G6:G11),"Missing")</x:f>
        <x:v>96.75</x:v>
      </x:c>
      <x:c r="E20" s="14" t="n">
        <x:f>IF(COUNT(H6:H11)=6,SUM(H6:H11),"Missing")</x:f>
        <x:v>295</x:v>
      </x:c>
      <x:c r="F20" s="2"/>
      <x:c r="G20" s="14"/>
      <x:c r="H20" s="14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4" customHeight="1">
      <x:c r="A23" s="7" t="str">
        <x:v>Editable assumptions</x:v>
      </x:c>
      <x:c r="B23" s="7" t="str">
        <x:v>Value</x:v>
      </x:c>
      <x:c r="C23" s="7" t="str">
        <x:v>Unit</x:v>
      </x:c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46" customHeight="1">
      <x:c r="A24" s="2" t="str">
        <x:v>Buck-boost efficiency</x:v>
      </x:c>
      <x:c r="B24" s="18" t="n">
        <x:v>0.85</x:v>
      </x:c>
      <x:c r="C24" s="2" t="str">
        <x:v>%</x:v>
      </x:c>
      <x:c r="D24" s="2"/>
      <x:c r="E24" s="2"/>
      <x:c r="F24" s="2"/>
      <x:c r="G24" s="2"/>
      <x:c r="H24" s="2"/>
      <x:c r="I24" s="2"/>
      <x:c r="J24" s="2"/>
      <x:c r="K24" s="26" t="str">
        <x:v>85% planning value, not a guaranteed efficiency floor. Confirm at chosen battery voltage/load.</x:v>
      </x:c>
      <x:c r="L24" s="26" t="str">
        <x:v>https://www.pololu.com/product/2836</x:v>
      </x:c>
    </x:row>
    <x:row r="25" ht="46" customHeight="1">
      <x:c r="A25" s="2" t="str">
        <x:v>Protection / wiring efficiency</x:v>
      </x:c>
      <x:c r="B25" s="18" t="n">
        <x:v>0.9</x:v>
      </x:c>
      <x:c r="C25" s="2" t="str">
        <x:v>%</x:v>
      </x:c>
      <x:c r="D25" s="2"/>
      <x:c r="E25" s="2"/>
      <x:c r="F25" s="2"/>
      <x:c r="G25" s="2"/>
      <x:c r="H25" s="2"/>
      <x:c r="I25" s="2"/>
      <x:c r="J25" s="2"/>
      <x:c r="K25" s="26" t="str">
        <x:v>90% provisional path efficiency replaces optimistic 97%; neither is a cold guarantee. See resistance screening below.</x:v>
      </x:c>
      <x:c r="L25" s="26" t="str">
        <x:v>MF-RHT070-0 R1max 0.8 ohm after trip at 23 C; AO3401A 85 milliohm max at Vgs=-2.5 V, 25 C</x:v>
      </x:c>
    </x:row>
    <x:row r="26" ht="46" customHeight="1">
      <x:c r="A26" s="2" t="str">
        <x:v>Usable battery-energy fraction</x:v>
      </x:c>
      <x:c r="B26" s="18" t="n">
        <x:v>0.7</x:v>
      </x:c>
      <x:c r="C26" s="2" t="str">
        <x:v>%</x:v>
      </x:c>
      <x:c r="D26" s="2"/>
      <x:c r="E26" s="2"/>
      <x:c r="F26" s="2"/>
      <x:c r="G26" s="2"/>
      <x:c r="H26" s="2"/>
      <x:c r="I26" s="2"/>
      <x:c r="J26" s="2"/>
      <x:c r="K26" s="26" t="str">
        <x:v>70% usable-energy placeholder for cold/cutoff/aging. Not battery-specific qualification.</x:v>
      </x:c>
      <x:c r="L26" s="26" t="str">
        <x:v>Engineering assumption; usable capacity at -40 °C is not yet verified</x:v>
      </x:c>
    </x:row>
    <x:row r="27" ht="46" customHeight="1">
      <x:c r="A27" s="2" t="str">
        <x:v>Energy reserve</x:v>
      </x:c>
      <x:c r="B27" s="18" t="n">
        <x:v>0.25</x:v>
      </x:c>
      <x:c r="C27" s="2" t="str">
        <x:v>%</x:v>
      </x:c>
      <x:c r="D27" s="2"/>
      <x:c r="E27" s="2"/>
      <x:c r="F27" s="2"/>
      <x:c r="G27" s="2"/>
      <x:c r="H27" s="2"/>
      <x:c r="I27" s="2"/>
      <x:c r="J27" s="2"/>
      <x:c r="K27" s="26" t="str">
        <x:v>25% additional energy reserve; proposed, not team-approved.</x:v>
      </x:c>
      <x:c r="L27" s="26" t="str">
        <x:v>Engineering assumption</x:v>
      </x:c>
    </x:row>
    <x:row r="28" ht="46" customHeight="1">
      <x:c r="A28" s="2" t="str">
        <x:v>Battery-side auxiliary allowance</x:v>
      </x:c>
      <x:c r="B28" s="19" t="n">
        <x:v>0.005</x:v>
      </x:c>
      <x:c r="C28" s="2" t="str">
        <x:v>W</x:v>
      </x:c>
      <x:c r="D28" s="2"/>
      <x:c r="E28" s="2"/>
      <x:c r="F28" s="2"/>
      <x:c r="G28" s="2"/>
      <x:c r="H28" s="2"/>
      <x:c r="I28" s="2"/>
      <x:c r="J28" s="2"/>
      <x:c r="K28" s="26" t="str">
        <x:v>5 mW for divider/gate bias/leakage; converter quiescent loss is included in efficiency.</x:v>
      </x:c>
      <x:c r="L28" s="26" t="str">
        <x:v>Current v4 R1=100k, R2+R3=122k; engineering allowance</x:v>
      </x:c>
    </x:row>
    <x:row r="29" ht="46" customHeight="1">
      <x:c r="A29" s="2" t="str">
        <x:v>Mean LED Vf at 2 mA (typical)</x:v>
      </x:c>
      <x:c r="B29" s="10" t="n">
        <x:v>1.8125</x:v>
      </x:c>
      <x:c r="C29" s="2" t="str">
        <x:v>V</x:v>
      </x:c>
      <x:c r="D29" s="2"/>
      <x:c r="E29" s="2"/>
      <x:c r="F29" s="2"/>
      <x:c r="G29" s="2"/>
      <x:c r="H29" s="2"/>
      <x:c r="I29" s="2"/>
      <x:c r="J29" s="2"/>
      <x:c r="K29" s="26" t="str">
        <x:v>Mean of selected LED typical Vf values; no guaranteed current bound at cold or resistor/rail tolerances.</x:v>
      </x:c>
      <x:c r="L29" s="26" t="str">
        <x:v>Current v4 schematic notes</x:v>
      </x:c>
    </x:row>
    <x:row r="30" ht="46" customHeight="1">
      <x:c r="A30" s="2" t="str">
        <x:v>LED series resistance</x:v>
      </x:c>
      <x:c r="B30" s="10" t="n">
        <x:v>680</x:v>
      </x:c>
      <x:c r="C30" s="2" t="str">
        <x:v>ohm</x:v>
      </x:c>
      <x:c r="D30" s="2"/>
      <x:c r="E30" s="2"/>
      <x:c r="F30" s="2"/>
      <x:c r="G30" s="2"/>
      <x:c r="H30" s="2"/>
      <x:c r="I30" s="2"/>
      <x:c r="J30" s="2"/>
      <x:c r="K30" s="26" t="str">
        <x:v>Current fitted resistor value.</x:v>
      </x:c>
      <x:c r="L30" s="26" t="str">
        <x:v>Current v4 schematic R4–R7</x:v>
      </x:c>
    </x:row>
    <x:row r="31" ht="46" customHeight="1">
      <x:c r="A31" s="2" t="str">
        <x:v>Required total powered runtime</x:v>
      </x:c>
      <x:c r="B31" s="10" t="n">
        <x:v>3</x:v>
      </x:c>
      <x:c r="C31" s="2" t="str">
        <x:v>h</x:v>
      </x:c>
      <x:c r="D31" s="2"/>
      <x:c r="E31" s="2"/>
      <x:c r="F31" s="2"/>
      <x:c r="G31" s="2"/>
      <x:c r="H31" s="2"/>
      <x:c r="I31" s="2"/>
      <x:c r="J31" s="2"/>
      <x:c r="K31" s="26" t="str">
        <x:v>Three-hour required total powered runtime; budget includes separate energy reserve.</x:v>
      </x:c>
      <x:c r="L31" s="26" t="str">
        <x:v>Saadat confirmation in chat, 2026-10-20</x:v>
      </x:c>
    </x:row>
    <x:row r="32" ht="46" customHeight="1">
      <x:c r="A32" s="2" t="str">
        <x:v>Selected battery nominal voltage</x:v>
      </x:c>
      <x:c r="B32" s="10" t="n">
        <x:v>6</x:v>
      </x:c>
      <x:c r="C32" s="2" t="str">
        <x:v>V</x:v>
      </x:c>
      <x:c r="D32" s="2"/>
      <x:c r="E32" s="2"/>
      <x:c r="F32" s="2"/>
      <x:c r="G32" s="2"/>
      <x:c r="H32" s="2"/>
      <x:c r="I32" s="2"/>
      <x:c r="J32" s="2"/>
      <x:c r="K32" s="26" t="str">
        <x:v>Four series primary lithium AA cells, 1.5 V nominal each. No charging.</x:v>
      </x:c>
      <x:c r="L32" s="26" t="str">
        <x:v>https://data.energizer.com/pdfs/L91GL0225.pdf</x:v>
      </x:c>
    </x:row>
    <x:row r="33" ht="46" customHeight="1">
      <x:c r="A33" s="2" t="str">
        <x:v>Minimum battery terminal voltage</x:v>
      </x:c>
      <x:c r="B33" s="10"/>
      <x:c r="C33" s="2" t="str">
        <x:v>V</x:v>
      </x:c>
      <x:c r="D33" s="2"/>
      <x:c r="E33" s="2"/>
      <x:c r="F33" s="2"/>
      <x:c r="G33" s="2"/>
      <x:c r="H33" s="2"/>
      <x:c r="I33" s="2"/>
      <x:c r="J33" s="2"/>
      <x:c r="K33" s="26" t="str">
        <x:v>Must include discharge behavior and temperature; converter VIN must exceed 3 V at startup after drops.</x:v>
      </x:c>
      <x:c r="L33" s="26" t="str">
        <x:v>https://www.pololu.com/product/2836</x:v>
      </x:c>
    </x:row>
    <x:row r="34" ht="46" customHeight="1">
      <x:c r="A34" s="2" t="str">
        <x:v>Selected battery / protection</x:v>
      </x:c>
      <x:c r="B34" s="20" t="str">
        <x:v>4 x L91 series / BH4AAW</x:v>
      </x:c>
      <x:c r="C34" s="2" t="str">
        <x:v>part number</x:v>
      </x:c>
      <x:c r="D34" s="2"/>
      <x:c r="E34" s="2"/>
      <x:c r="F34" s="2"/>
      <x:c r="G34" s="2"/>
      <x:c r="H34" s="2"/>
      <x:c r="I34" s="2"/>
      <x:c r="J34" s="2"/>
      <x:c r="K34" s="26" t="str">
        <x:v>BH4AAW and four L91 cells selected for first build. Add insulated 025101.5MXL pack fuse; see assembly instructions. Runtime remains unmeasured.</x:v>
      </x:c>
      <x:c r="L34" s="26" t="str">
        <x:v>https://www.batteryholders.com/uploads/parts/BH4AAW/datasheets/BH4AAW-datasheet.pdf</x:v>
      </x:c>
    </x:row>
    <x:row r="35" ht="46" customHeight="1">
      <x:c r="A35" s="2" t="str">
        <x:v>Minimum battery operating temperature</x:v>
      </x:c>
      <x:c r="B35" s="11" t="n">
        <x:v>-40</x:v>
      </x:c>
      <x:c r="C35" s="2" t="str">
        <x:v>°C</x:v>
      </x:c>
      <x:c r="D35" s="2"/>
      <x:c r="E35" s="2"/>
      <x:c r="F35" s="2"/>
      <x:c r="G35" s="2"/>
      <x:c r="H35" s="2"/>
      <x:c r="I35" s="2"/>
      <x:c r="J35" s="2"/>
      <x:c r="K35" s="26" t="str">
        <x:v>Lead requirement replaces earlier -45 °C estimate; cold capability still needs verification.</x:v>
      </x:c>
      <x:c r="L35" s="26" t="str">
        <x:v>Lead reply supplied by Saadat, 2026-10-20</x:v>
      </x:c>
    </x:row>
    <x:row r="36" ht="23" customHeight="1">
      <x:c r="A36" s="2"/>
      <x:c r="B36" s="2"/>
      <x:c r="C36" s="2"/>
      <x:c r="D36" s="15" t="str">
        <x:v>Average</x:v>
      </x:c>
      <x:c r="E36" s="15" t="str">
        <x:v>Peak allowance</x:v>
      </x:c>
      <x:c r="F36" s="2"/>
      <x:c r="G36" s="2"/>
      <x:c r="H36" s="2"/>
      <x:c r="I36" s="2"/>
      <x:c r="J36" s="2"/>
      <x:c r="K36" s="2"/>
      <x:c r="L36" s="2"/>
    </x:row>
    <x:row r="37" ht="23" customHeight="1">
      <x:c r="A37" s="2" t="str">
        <x:v>Battery input power (W)</x:v>
      </x:c>
      <x:c r="B37" s="2"/>
      <x:c r="C37" s="2"/>
      <x:c r="D37" s="13" t="n">
        <x:f>IF(AND(ISNUMBER(D15),COUNT(B24:B25)=2,ISNUMBER(B28),B24&gt;0,B24&lt;=1,B25&gt;0,B25&lt;=1,B28&gt;=0),(D15/B24+B28)/B25,"Missing/invalid")</x:f>
        <x:v>1.618300653594771</x:v>
      </x:c>
      <x:c r="E37" s="13" t="n">
        <x:f>IF(AND(ISNUMBER(E15),COUNT(B24:B25)=2,ISNUMBER(B28),B24&gt;0,B24&lt;=1,B25&gt;0,B25&lt;=1,B28&gt;=0),(E15/B24+B28)/B25,"Missing/invalid")</x:f>
        <x:v>3.567647058823529</x:v>
      </x:c>
      <x:c r="F37" s="2"/>
      <x:c r="G37" s="2"/>
      <x:c r="H37" s="2"/>
      <x:c r="I37" s="2"/>
      <x:c r="J37" s="2"/>
      <x:c r="K37" s="2" t="str">
        <x:v>Peak is a simultaneous-load screening allowance, not a measured maximum or inrush waveform.</x:v>
      </x:c>
      <x:c r="L37" s="2"/>
    </x:row>
    <x:row r="38" ht="23" customHeight="1">
      <x:c r="A38" s="2" t="str">
        <x:v>Nameplate energy per runtime hour (Wh/h)</x:v>
      </x:c>
      <x:c r="B38" s="2"/>
      <x:c r="C38" s="2"/>
      <x:c r="D38" s="13" t="n">
        <x:f>IF(AND(ISNUMBER(D37),COUNT(B26:B27)=2,B26&gt;0,B26&lt;=1,B27&gt;=0),D37*(1+B27)/B26,"Missing/invalid")</x:f>
        <x:v>2.8898225957049486</x:v>
      </x:c>
      <x:c r="E38" s="13"/>
      <x:c r="F38" s="2"/>
      <x:c r="G38" s="2"/>
      <x:c r="H38" s="2"/>
      <x:c r="I38" s="2"/>
      <x:c r="J38" s="2"/>
      <x:c r="K38" s="2" t="str">
        <x:v>Battery input W × (1 + reserve) ÷ usable energy fraction. Runtime is separate.</x:v>
      </x:c>
      <x:c r="L38" s="2"/>
    </x:row>
    <x:row r="39" ht="23" customHeight="1">
      <x:c r="A39" s="2" t="str">
        <x:v>Required nameplate energy (Wh)</x:v>
      </x:c>
      <x:c r="B39" s="2"/>
      <x:c r="C39" s="2"/>
      <x:c r="D39" s="13" t="n">
        <x:f>IF(AND(ISNUMBER(D38),ISNUMBER(B31),B31&gt;0),D38*B31,"Set runtime")</x:f>
        <x:v>8.669467787114845</x:v>
      </x:c>
      <x:c r="E39" s="13"/>
      <x:c r="F39" s="2"/>
      <x:c r="G39" s="2"/>
      <x:c r="H39" s="2"/>
      <x:c r="I39" s="2"/>
      <x:c r="J39" s="2"/>
      <x:c r="K39" s="2"/>
      <x:c r="L39" s="2"/>
    </x:row>
    <x:row r="40" ht="23" customHeight="1">
      <x:c r="A40" s="2" t="str">
        <x:v>Required nominal pack capacity (Ah)</x:v>
      </x:c>
      <x:c r="B40" s="2"/>
      <x:c r="C40" s="2"/>
      <x:c r="D40" s="13" t="n">
        <x:f>IF(AND(ISNUMBER(D39),ISNUMBER(B32),B32&gt;0),D39/B32,"Set runtime/voltage")</x:f>
        <x:v>1.4449112978524743</x:v>
      </x:c>
      <x:c r="E40" s="13"/>
      <x:c r="F40" s="2"/>
      <x:c r="G40" s="2"/>
      <x:c r="H40" s="2"/>
      <x:c r="I40" s="2"/>
      <x:c r="J40" s="2"/>
      <x:c r="K40" s="2"/>
      <x:c r="L40" s="2"/>
    </x:row>
    <x:row r="41" ht="23" customHeight="1">
      <x:c r="A41" s="2" t="str">
        <x:v>Peak battery current at minimum V (A)</x:v>
      </x:c>
      <x:c r="B41" s="2"/>
      <x:c r="C41" s="2"/>
      <x:c r="D41" s="13" t="str">
        <x:f>IF(AND(ISNUMBER(E37),ISNUMBER(B33),B33&gt;0),E37/B33,"Set minimum voltage")</x:f>
        <x:v>Set minimum voltage</x:v>
      </x:c>
      <x:c r="E41" s="13"/>
      <x:c r="F41" s="2"/>
      <x:c r="G41" s="2"/>
      <x:c r="H41" s="2"/>
      <x:c r="I41" s="2"/>
      <x:c r="J41" s="2"/>
      <x:c r="K41" s="2"/>
      <x:c r="L41" s="2"/>
    </x:row>
    <x:row r="42" ht="23" customHeight="1">
      <x:c r="A42" s="2" t="str">
        <x:v>Current candidate PTC hold rating (A)</x:v>
      </x:c>
      <x:c r="B42" s="2"/>
      <x:c r="C42" s="2"/>
      <x:c r="D42" s="13" t="n">
        <x:v>0.7</x:v>
      </x:c>
      <x:c r="E42" s="13"/>
      <x:c r="F42" s="2"/>
      <x:c r="G42" s="2"/>
      <x:c r="H42" s="2"/>
      <x:c r="I42" s="2"/>
      <x:c r="J42" s="2"/>
      <x:c r="K42" s="2" t="str">
        <x:v>MF-RHT070-0 hold: 0.95 A at -40 C, 0.70 A at 23 C, 0.62 A at 40 C. Hold is not instantaneous trip current.</x:v>
      </x:c>
      <x:c r="L42" s="2"/>
    </x:row>
    <x:row r="43" ht="23" customHeight="1">
      <x:c r="A43" s="2" t="str">
        <x:v>PTC review</x:v>
      </x:c>
      <x:c r="B43" s="2"/>
      <x:c r="C43" s="2"/>
      <x:c r="D43" s="2" t="str">
        <x:f>IF(ISNUMBER(D41),IF(D41&gt;D42,"Review peak / trip curve","Check derating / trip curve"),"Choose battery first")</x:f>
        <x:v>Choose battery first</x:v>
      </x:c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34" customHeight="1">
      <x:c r="A46" s="7" t="str">
        <x:v>Example terminal V</x:v>
      </x:c>
      <x:c r="B46" s="7" t="str">
        <x:v>Average battery A</x:v>
      </x:c>
      <x:c r="C46" s="7" t="str">
        <x:v>Peak battery A</x:v>
      </x:c>
      <x:c r="D46" s="7" t="str">
        <x:v>Existing PTC screening</x:v>
      </x:c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 t="n">
        <x:v>3</x:v>
      </x:c>
      <x:c r="B47" s="13" t="n">
        <x:f>IF(ISNUMBER($D$37),$D$37/A47,"Missing")</x:f>
        <x:v>0.539433551198257</x:v>
      </x:c>
      <x:c r="C47" s="13" t="n">
        <x:f>IF(ISNUMBER($E$37),$E$37/A47,"Missing")</x:f>
        <x:v>1.1892156862745098</x:v>
      </x:c>
      <x:c r="D47" s="2" t="str">
        <x:f>IF(ISNUMBER(C47),IF(C47&gt;$D$42,"Review peak / trip curve","Check derating / trip curve"),"Missing")</x:f>
        <x:v>Review peak / trip curve</x:v>
      </x:c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 t="n">
        <x:v>3.7</x:v>
      </x:c>
      <x:c r="B48" s="13" t="n">
        <x:f>IF(ISNUMBER($D$37),$D$37/A48,"Missing")</x:f>
        <x:v>0.4373785550256138</x:v>
      </x:c>
      <x:c r="C48" s="13" t="n">
        <x:f>IF(ISNUMBER($E$37),$E$37/A48,"Missing")</x:f>
        <x:v>0.96422893481717</x:v>
      </x:c>
      <x:c r="D48" s="2" t="str">
        <x:f>IF(ISNUMBER(C48),IF(C48&gt;$D$42,"Review peak / trip curve","Check derating / trip curve"),"Missing")</x:f>
        <x:v>Review peak / trip curve</x:v>
      </x:c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 t="n">
        <x:v>5</x:v>
      </x:c>
      <x:c r="B49" s="13" t="n">
        <x:f>IF(ISNUMBER($D$37),$D$37/A49,"Missing")</x:f>
        <x:v>0.3236601307189542</x:v>
      </x:c>
      <x:c r="C49" s="13" t="n">
        <x:f>IF(ISNUMBER($E$37),$E$37/A49,"Missing")</x:f>
        <x:v>0.7135294117647059</x:v>
      </x:c>
      <x:c r="D49" s="2" t="str">
        <x:f>IF(ISNUMBER(C49),IF(C49&gt;$D$42,"Review peak / trip curve","Check derating / trip curve"),"Missing")</x:f>
        <x:v>Review peak / trip curve</x:v>
      </x:c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 t="n">
        <x:v>7.4</x:v>
      </x:c>
      <x:c r="B50" s="13" t="n">
        <x:f>IF(ISNUMBER($D$37),$D$37/A50,"Missing")</x:f>
        <x:v>0.2186892775128069</x:v>
      </x:c>
      <x:c r="C50" s="13" t="n">
        <x:f>IF(ISNUMBER($E$37),$E$37/A50,"Missing")</x:f>
        <x:v>0.482114467408585</x:v>
      </x:c>
      <x:c r="D50" s="2" t="str">
        <x:f>IF(ISNUMBER(C50),IF(C50&gt;$D$42,"Review peak / trip curve","Check derating / trip curve"),"Missing")</x:f>
        <x:v>Check derating / trip curve</x:v>
      </x:c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 t="str">
        <x:v>Voltage examples are not selected batteries. 3 V at the pack leaves no startup margin after losses.</x:v>
      </x:c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 t="str">
        <x:v>Requirements: 3 h and -40 °C battery minimum. Actual current, cold capacity and thermal behavior remain unverified.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 t="str">
        <x:v>Power-path resistance screening — illustrative terminal voltages, not discharge qualification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90" customHeight="1">
      <x:c r="A58" s="2" t="str">
        <x:v>Total series resistance allowance</x:v>
      </x:c>
      <x:c r="B58" s="10" t="n">
        <x:v>1.15</x:v>
      </x:c>
      <x:c r="C58" s="2" t="str">
        <x:v>ohm</x:v>
      </x:c>
      <x:c r="D58" s="2"/>
      <x:c r="E58" s="2"/>
      <x:c r="F58" s="2"/>
      <x:c r="G58" s="2"/>
      <x:c r="H58" s="2"/>
      <x:c r="I58" s="2"/>
      <x:c r="J58" s="2"/>
      <x:c r="K58" s="26" t="str">
        <x:v>1.15 ohm screen: 0.8 PTC + 0.085 Q1 + 0.10 pack fuse allowance + 0.165 wiring/switch/contact allowance. Not a guaranteed cold maximum.</x:v>
      </x:c>
      <x:c r="L58" s="26" t="str">
        <x:v>Bourns MF-RHT070; AO3401A; Littelfuse 251/253 sheet (025101.5MXL nominal 0.0823 ohm); docs/FIRST_PROTOTYPE_RELEASE.md</x:v>
      </x:c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34" customHeight="1">
      <x:c r="A60" s="7" t="str">
        <x:v>Pack terminal V</x:v>
      </x:c>
      <x:c r="B60" s="7" t="str">
        <x:v>Avg module W</x:v>
      </x:c>
      <x:c r="C60" s="7" t="str">
        <x:v>Peak module W</x:v>
      </x:c>
      <x:c r="D60" s="7" t="str">
        <x:v>Avg battery A</x:v>
      </x:c>
      <x:c r="E60" s="7" t="str">
        <x:v>Peak battery A</x:v>
      </x:c>
      <x:c r="F60" s="7" t="str">
        <x:v>Peak path loss W</x:v>
      </x:c>
      <x:c r="G60" s="7" t="str">
        <x:v>Peak module VIN</x:v>
      </x:c>
      <x:c r="H60" s="7" t="str">
        <x:v>Startup screening</x:v>
      </x:c>
      <x:c r="I60" s="2"/>
      <x:c r="J60" s="2"/>
      <x:c r="K60" s="2"/>
      <x:c r="L60" s="2"/>
    </x:row>
    <x:row r="61" ht="23" customHeight="1">
      <x:c r="A61" s="2" t="n">
        <x:v>6</x:v>
      </x:c>
      <x:c r="B61" s="13" t="n">
        <x:f>$D$15/$B$24+$B$28</x:f>
        <x:v>1.456470588235294</x:v>
      </x:c>
      <x:c r="C61" s="13" t="n">
        <x:f>$E$15/$B$24+$B$28</x:f>
        <x:v>3.2108823529411765</x:v>
      </x:c>
      <x:c r="D61" s="13" t="n">
        <x:f>IF(AND(A61&gt;0,$B$58&gt;=0,A61^2&gt;=4*$B$58*B61),2*B61/(A61+SQRT(A61^2-4*$B$58*B61)),"No stable point")</x:f>
        <x:v>0.2552307932928179</x:v>
      </x:c>
      <x:c r="E61" s="13" t="n">
        <x:f>IF(AND(A61&gt;0,$B$58&gt;=0,A61^2&gt;=4*$B$58*C61),2*C61/(A61+SQRT(A61^2-4*$B$58*C61)),"No stable point")</x:f>
        <x:v>0.6053930303970931</x:v>
      </x:c>
      <x:c r="F61" s="13" t="n">
        <x:f>IF(ISNUMBER(E61),E61^2*$B$58,"Unavailable")</x:f>
        <x:v>0.42147582944138207</x:v>
      </x:c>
      <x:c r="G61" s="13" t="n">
        <x:f>IF(ISNUMBER(E61),A61-E61*$B$58,"Unavailable")</x:f>
        <x:v>5.303798015043343</x:v>
      </x:c>
      <x:c r="H61" s="2" t="str">
        <x:f>IF(ISNUMBER(G61),IF(G61&gt;=3,"Above 3 V threshold","Below 3 V startup"),"Unavailable")</x:f>
        <x:v>Above 3 V threshold</x:v>
      </x:c>
      <x:c r="I61" s="2"/>
      <x:c r="J61" s="2"/>
      <x:c r="K61" s="2"/>
      <x:c r="L61" s="2"/>
    </x:row>
    <x:row r="62" ht="23" customHeight="1">
      <x:c r="A62" s="2" t="n">
        <x:v>4.8</x:v>
      </x:c>
      <x:c r="B62" s="13" t="n">
        <x:f>$D$15/$B$24+$B$28</x:f>
        <x:v>1.456470588235294</x:v>
      </x:c>
      <x:c r="C62" s="13" t="n">
        <x:f>$E$15/$B$24+$B$28</x:f>
        <x:v>3.2108823529411765</x:v>
      </x:c>
      <x:c r="D62" s="13" t="n">
        <x:f>IF(AND(A62&gt;0,$B$58&gt;=0,A62^2&gt;=4*$B$58*B62),2*B62/(A62+SQRT(A62^2-4*$B$58*B62)),"No stable point")</x:f>
        <x:v>0.3294323085498426</x:v>
      </x:c>
      <x:c r="E62" s="13" t="n">
        <x:f>IF(AND(A62&gt;0,$B$58&gt;=0,A62^2&gt;=4*$B$58*C62),2*C62/(A62+SQRT(A62^2-4*$B$58*C62)),"No stable point")</x:f>
        <x:v>0.8366301993831254</x:v>
      </x:c>
      <x:c r="F62" s="13" t="n">
        <x:f>IF(ISNUMBER(E62),E62^2*$B$58,"Unavailable")</x:f>
        <x:v>0.8049426040978254</x:v>
      </x:c>
      <x:c r="G62" s="13" t="n">
        <x:f>IF(ISNUMBER(E62),A62-E62*$B$58,"Unavailable")</x:f>
        <x:v>3.8378752707094055</x:v>
      </x:c>
      <x:c r="H62" s="2" t="str">
        <x:f>IF(ISNUMBER(G62),IF(G62&gt;=3,"Above 3 V threshold","Below 3 V startup"),"Unavailable")</x:f>
        <x:v>Above 3 V threshold</x:v>
      </x:c>
      <x:c r="I62" s="2"/>
      <x:c r="J62" s="2"/>
      <x:c r="K62" s="2"/>
      <x:c r="L62" s="2"/>
    </x:row>
    <x:row r="63" ht="23" customHeight="1">
      <x:c r="A63" s="2" t="n">
        <x:v>4</x:v>
      </x:c>
      <x:c r="B63" s="13" t="n">
        <x:f>$D$15/$B$24+$B$28</x:f>
        <x:v>1.456470588235294</x:v>
      </x:c>
      <x:c r="C63" s="13" t="n">
        <x:f>$E$15/$B$24+$B$28</x:f>
        <x:v>3.2108823529411765</x:v>
      </x:c>
      <x:c r="D63" s="13" t="n">
        <x:f>IF(AND(A63&gt;0,$B$58&gt;=0,A63^2&gt;=4*$B$58*B63),2*B63/(A63+SQRT(A63^2-4*$B$58*B63)),"No stable point")</x:f>
        <x:v>0.4132049068949067</x:v>
      </x:c>
      <x:c r="E63" s="13" t="n">
        <x:f>IF(AND(A63&gt;0,$B$58&gt;=0,A63^2&gt;=4*$B$58*C63),2*C63/(A63+SQRT(A63^2-4*$B$58*C63)),"No stable point")</x:f>
        <x:v>1.2569447258135968</x:v>
      </x:c>
      <x:c r="F63" s="13" t="n">
        <x:f>IF(ISNUMBER(E63),E63^2*$B$58,"Unavailable")</x:f>
        <x:v>1.8168965503132108</x:v>
      </x:c>
      <x:c r="G63" s="13" t="n">
        <x:f>IF(ISNUMBER(E63),A63-E63*$B$58,"Unavailable")</x:f>
        <x:v>2.554513565314364</x:v>
      </x:c>
      <x:c r="H63" s="2" t="str">
        <x:f>IF(ISNUMBER(G63),IF(G63&gt;=3,"Above 3 V threshold","Below 3 V startup"),"Unavailable")</x:f>
        <x:v>Below 3 V startup</x:v>
      </x:c>
      <x:c r="I63" s="2"/>
      <x:c r="J63" s="2"/>
      <x:c r="K63" s="2"/>
      <x:c r="L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3" customHeight="1">
      <x:c r="A65" s="2" t="str">
        <x:v>Constant-power calculation: Vpack I = Pmodule + I²R. Cell internal loss is excluded; voltage is at pack terminals.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3" customHeight="1">
      <x:c r="A66" s="2" t="str">
        <x:v>A 3 V startup threshold is necessary, not sufficient. Test cold startup, SD peaks, PTC heating and end-of-discharge recovery.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</x:sheetData>
  <x:conditionalFormatting sqref="D5:E11">
    <x:cfRule type="expression" dxfId="0" priority="1">
      <x:formula>OR(NOT(ISNUMBER(D5)),D5&lt;0)</x:formula>
    </x:cfRule>
  </x:conditionalFormatting>
  <x:conditionalFormatting sqref="D19:E1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31" hidden="0" customWidth="1"/>
    <x:col min="10" max="10" width="15" hidden="0" customWidth="1"/>
    <x:col min="11" max="11" width="65" hidden="0" customWidth="1"/>
    <x:col min="12" max="12" width="10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PTERODACTYL cost and mass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3" customHeight="1">
      <x:c r="A3" s="2" t="str">
        <x:v>One assembled prototype; USD. Blank inputs remain missing. Nothing ordered. Prices checked 2026-10-20.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4" customHeight="1">
      <x:c r="A4" s="7" t="str">
        <x:v>Item / scope</x:v>
      </x:c>
      <x:c r="B4" s="7" t="str">
        <x:v>Qty</x:v>
      </x:c>
      <x:c r="C4" s="7" t="str">
        <x:v>Unit cost $</x:v>
      </x:c>
      <x:c r="D4" s="7" t="str">
        <x:v>Line cost $</x:v>
      </x:c>
      <x:c r="E4" s="7" t="str">
        <x:v>Unit mass g</x:v>
      </x:c>
      <x:c r="F4" s="7" t="str">
        <x:v>Line mass g</x:v>
      </x:c>
      <x:c r="G4" s="7" t="str">
        <x:v>Cost basis</x:v>
      </x:c>
      <x:c r="H4" s="7" t="str">
        <x:v>Mass basis</x:v>
      </x:c>
      <x:c r="I4" s="7" t="str">
        <x:v>References</x:v>
      </x:c>
      <x:c r="J4" s="2"/>
      <x:c r="K4" s="7" t="str">
        <x:v>Source / basis</x:v>
      </x:c>
      <x:c r="L4" s="7" t="str">
        <x:v>Notes</x:v>
      </x:c>
    </x:row>
    <x:row r="5" ht="46" customHeight="1">
      <x:c r="A5" s="2" t="str">
        <x:v>Teensy 4.1 DEV-16771</x:v>
      </x:c>
      <x:c r="B5" s="11" t="n">
        <x:v>1</x:v>
      </x:c>
      <x:c r="C5" s="21" t="n">
        <x:v>31.5</x:v>
      </x:c>
      <x:c r="D5" s="22" t="n">
        <x:f>IF(COUNT(B5,C5)=2,B5*C5,"Missing")</x:f>
        <x:v>31.5</x:v>
      </x:c>
      <x:c r="E5" s="12" t="n">
        <x:v>7</x:v>
      </x:c>
      <x:c r="F5" s="14" t="n">
        <x:f>IF(COUNT(B5,E5)=2,B5*E5,"Missing")</x:f>
        <x:v>7</x:v>
      </x:c>
      <x:c r="G5" s="2" t="str">
        <x:v>Listed price</x:v>
      </x:c>
      <x:c r="H5" s="2" t="str">
        <x:v>Allowance</x:v>
      </x:c>
      <x:c r="I5" s="2" t="str">
        <x:v>U1</x:v>
      </x:c>
      <x:c r="J5" s="2"/>
      <x:c r="K5" s="26" t="str">
        <x:v>https://www.sparkfun.com/teensy-4-1.html</x:v>
      </x:c>
      <x:c r="L5" s="26" t="str">
        <x:v>Mass allowance only; no card or headers.</x:v>
      </x:c>
    </x:row>
    <x:row r="6" ht="46" customHeight="1">
      <x:c r="A6" s="2" t="str">
        <x:v>Adafruit BNO055 #2472</x:v>
      </x:c>
      <x:c r="B6" s="11" t="n">
        <x:v>1</x:v>
      </x:c>
      <x:c r="C6" s="21" t="n">
        <x:v>34.95</x:v>
      </x:c>
      <x:c r="D6" s="22" t="n">
        <x:f>IF(COUNT(B6,C6)=2,B6*C6,"Missing")</x:f>
        <x:v>34.95</x:v>
      </x:c>
      <x:c r="E6" s="12" t="n">
        <x:v>3</x:v>
      </x:c>
      <x:c r="F6" s="14" t="n">
        <x:f>IF(COUNT(B6,E6)=2,B6*E6,"Missing")</x:f>
        <x:v>3</x:v>
      </x:c>
      <x:c r="G6" s="2" t="str">
        <x:v>Listed price</x:v>
      </x:c>
      <x:c r="H6" s="2" t="str">
        <x:v>Published</x:v>
      </x:c>
      <x:c r="I6" s="2" t="str">
        <x:v>U3</x:v>
      </x:c>
      <x:c r="J6" s="2"/>
      <x:c r="K6" s="26" t="str">
        <x:v>https://www.adafruit.com/product/2472</x:v>
      </x:c>
      <x:c r="L6" s="26" t="str">
        <x:v>Published board mass; confirm assembled header basis.</x:v>
      </x:c>
    </x:row>
    <x:row r="7" ht="46" customHeight="1">
      <x:c r="A7" s="2" t="str">
        <x:v>Adafruit MS8607 #4716</x:v>
      </x:c>
      <x:c r="B7" s="11" t="n">
        <x:v>1</x:v>
      </x:c>
      <x:c r="C7" s="21" t="n">
        <x:v>14.95</x:v>
      </x:c>
      <x:c r="D7" s="22" t="n">
        <x:f>IF(COUNT(B7,C7)=2,B7*C7,"Missing")</x:f>
        <x:v>14.95</x:v>
      </x:c>
      <x:c r="E7" s="12" t="n">
        <x:v>2</x:v>
      </x:c>
      <x:c r="F7" s="14" t="n">
        <x:f>IF(COUNT(B7,E7)=2,B7*E7,"Missing")</x:f>
        <x:v>2</x:v>
      </x:c>
      <x:c r="G7" s="2" t="str">
        <x:v>Listed price</x:v>
      </x:c>
      <x:c r="H7" s="2" t="str">
        <x:v>Allowance</x:v>
      </x:c>
      <x:c r="I7" s="2" t="str">
        <x:v>U4</x:v>
      </x:c>
      <x:c r="J7" s="2"/>
      <x:c r="K7" s="26" t="str">
        <x:v>https://www.adafruit.com/product/4716</x:v>
      </x:c>
      <x:c r="L7" s="26" t="str">
        <x:v>Whole breakout mass allowance, not sensor-package mass.</x:v>
      </x:c>
    </x:row>
    <x:row r="8" ht="46" customHeight="1">
      <x:c r="A8" s="2" t="str">
        <x:v>Adafruit GPS #5440</x:v>
      </x:c>
      <x:c r="B8" s="11" t="n">
        <x:v>1</x:v>
      </x:c>
      <x:c r="C8" s="21" t="n">
        <x:v>29.95</x:v>
      </x:c>
      <x:c r="D8" s="22" t="n">
        <x:f>IF(COUNT(B8,C8)=2,B8*C8,"Missing")</x:f>
        <x:v>29.95</x:v>
      </x:c>
      <x:c r="E8" s="12" t="n">
        <x:v>9</x:v>
      </x:c>
      <x:c r="F8" s="14" t="n">
        <x:f>IF(COUNT(B8,E8)=2,B8*E8,"Missing")</x:f>
        <x:v>9</x:v>
      </x:c>
      <x:c r="G8" s="2" t="str">
        <x:v>Listed price</x:v>
      </x:c>
      <x:c r="H8" s="2" t="str">
        <x:v>Published</x:v>
      </x:c>
      <x:c r="I8" s="2" t="str">
        <x:v>U5</x:v>
      </x:c>
      <x:c r="J8" s="2"/>
      <x:c r="K8" s="26" t="str">
        <x:v>https://www.adafruit.com/product/5440</x:v>
      </x:c>
      <x:c r="L8" s="26" t="str">
        <x:v>Published product mass; no optional coin cell or external antenna.</x:v>
      </x:c>
    </x:row>
    <x:row r="9" ht="46" customHeight="1">
      <x:c r="A9" s="2" t="str">
        <x:v>Pololu S9V11F5 #2836</x:v>
      </x:c>
      <x:c r="B9" s="11" t="n">
        <x:v>1</x:v>
      </x:c>
      <x:c r="C9" s="21" t="n">
        <x:v>6.95</x:v>
      </x:c>
      <x:c r="D9" s="22" t="n">
        <x:f>IF(COUNT(B9,C9)=2,B9*C9,"Missing")</x:f>
        <x:v>6.95</x:v>
      </x:c>
      <x:c r="E9" s="12" t="n">
        <x:v>0.5</x:v>
      </x:c>
      <x:c r="F9" s="14" t="n">
        <x:f>IF(COUNT(B9,E9)=2,B9*E9,"Missing")</x:f>
        <x:v>0.5</x:v>
      </x:c>
      <x:c r="G9" s="2" t="str">
        <x:v>Listed price</x:v>
      </x:c>
      <x:c r="H9" s="2" t="str">
        <x:v>Published</x:v>
      </x:c>
      <x:c r="I9" s="2" t="str">
        <x:v>U2</x:v>
      </x:c>
      <x:c r="J9" s="2"/>
      <x:c r="K9" s="26" t="str">
        <x:v>https://www.pololu.com/product/2836</x:v>
      </x:c>
      <x:c r="L9" s="26" t="str">
        <x:v>0.5 g without pins per /specs; quote may require backorder.</x:v>
      </x:c>
    </x:row>
    <x:row r="10" ht="90" customHeight="1">
      <x:c r="A10" s="2" t="str">
        <x:v>Carrier PCB, one installed</x:v>
      </x:c>
      <x:c r="B10" s="11" t="n">
        <x:v>1</x:v>
      </x:c>
      <x:c r="C10" s="21"/>
      <x:c r="D10" s="22" t="str">
        <x:f>IF(COUNT(B10,C10)=2,B10*C10,"Missing")</x:f>
        <x:v>Missing</x:v>
      </x:c>
      <x:c r="E10" s="12" t="n">
        <x:v>35</x:v>
      </x:c>
      <x:c r="F10" s="14" t="n">
        <x:f>IF(COUNT(B10,E10)=2,B10*E10,"Missing")</x:f>
        <x:v>35</x:v>
      </x:c>
      <x:c r="G10" s="2" t="str">
        <x:v>Quote needed</x:v>
      </x:c>
      <x:c r="H10" s="2" t="str">
        <x:v>Allowance</x:v>
      </x:c>
      <x:c r="I10" s="2" t="str">
        <x:v>PCB</x:v>
      </x:c>
      <x:c r="J10" s="2"/>
      <x:c r="K10" s="26" t="str">
        <x:v>Current approximately 98 × 98 mm, 4-layer layout</x:v>
      </x:c>
      <x:c r="L10" s="26" t="str">
        <x:v>AISLER TCVOYNZG rev1 processed: 97.79 x 97.79 mm, 4 layers, 1.6 mm, 35 um ENIG. 3 bare boards EUR 51.37 net provisional; not converted into this USD model.</x:v>
      </x:c>
    </x:row>
    <x:row r="11" ht="90" customHeight="1">
      <x:c r="A11" s="2" t="str">
        <x:v>Module interconnect rows; mixed mounting</x:v>
      </x:c>
      <x:c r="B11" s="11" t="n">
        <x:v>7</x:v>
      </x:c>
      <x:c r="C11" s="21"/>
      <x:c r="D11" s="22" t="str">
        <x:f>IF(COUNT(B11,C11)=2,B11*C11,"Missing")</x:f>
        <x:v>Missing</x:v>
      </x:c>
      <x:c r="E11" s="12"/>
      <x:c r="F11" s="14" t="str">
        <x:f>IF(COUNT(B11,E11)=2,B11*E11,"Missing")</x:f>
        <x:v>Missing</x:v>
      </x:c>
      <x:c r="G11" s="2" t="str">
        <x:v>Quote needed</x:v>
      </x:c>
      <x:c r="H11" s="2" t="str">
        <x:v>Missing</x:v>
      </x:c>
      <x:c r="I11" s="2" t="str">
        <x:v>75 positions</x:v>
      </x:c>
      <x:c r="J11" s="2"/>
      <x:c r="K11" s="26" t="str">
        <x:v>Saadat assembly update, 2026-10-20; docs/MODULE_ASSEMBLY_PLAN.md</x:v>
      </x:c>
      <x:c r="L11" s="26" t="str">
        <x:v>BNO055/MS8607/GPS: HTSW -15 pins soldered at both boards, 12 mm nominal spacing. Teensy/regulator: SSW -01 / HTSW -07. Mass remains unmeasured.</x:v>
      </x:c>
    </x:row>
    <x:row r="12" ht="90" customHeight="1">
      <x:c r="A12" s="2" t="str">
        <x:v>Passive/protection component lot</x:v>
      </x:c>
      <x:c r="B12" s="11" t="n">
        <x:v>1</x:v>
      </x:c>
      <x:c r="C12" s="21"/>
      <x:c r="D12" s="22" t="str">
        <x:f>IF(COUNT(B12,C12)=2,B12*C12,"Missing")</x:f>
        <x:v>Missing</x:v>
      </x:c>
      <x:c r="E12" s="12" t="n">
        <x:v>8</x:v>
      </x:c>
      <x:c r="F12" s="14" t="n">
        <x:f>IF(COUNT(B12,E12)=2,B12*E12,"Missing")</x:f>
        <x:v>8</x:v>
      </x:c>
      <x:c r="G12" s="2" t="str">
        <x:v>Quote needed</x:v>
      </x:c>
      <x:c r="H12" s="2" t="str">
        <x:v>Allowance</x:v>
      </x:c>
      <x:c r="I12" s="2" t="str">
        <x:v>R1–R7, C1–C11, D1, FB1, F1, Q1</x:v>
      </x:c>
      <x:c r="J12" s="2"/>
      <x:c r="K12" s="26" t="str">
        <x:v>Current v4 schematic; 22 components</x:v>
      </x:c>
      <x:c r="L12" s="26" t="str">
        <x:v>All PCB MPNs selected for first prototype; FB1 Laird 28L0138-10R-10 replaces obsolete Murata. 8 g lot allowance includes 0.875 g MRS16 resistors.</x:v>
      </x:c>
    </x:row>
    <x:row r="13" ht="90" customHeight="1">
      <x:c r="A13" s="2" t="str">
        <x:v>Low-Vf indicator LEDs</x:v>
      </x:c>
      <x:c r="B13" s="11" t="n">
        <x:v>4</x:v>
      </x:c>
      <x:c r="C13" s="21"/>
      <x:c r="D13" s="22" t="str">
        <x:f>IF(COUNT(B13,C13)=2,B13*C13,"Missing")</x:f>
        <x:v>Missing</x:v>
      </x:c>
      <x:c r="E13" s="12" t="n">
        <x:v>0.3</x:v>
      </x:c>
      <x:c r="F13" s="14" t="n">
        <x:f>IF(COUNT(B13,E13)=2,B13*E13,"Missing")</x:f>
        <x:v>1.2</x:v>
      </x:c>
      <x:c r="G13" s="2" t="str">
        <x:v>Quote needed</x:v>
      </x:c>
      <x:c r="H13" s="2" t="str">
        <x:v>Allowance</x:v>
      </x:c>
      <x:c r="I13" s="2" t="str">
        <x:v>D2–D5</x:v>
      </x:c>
      <x:c r="J13" s="2"/>
      <x:c r="K13" s="26" t="str">
        <x:v>Current v4 schematic</x:v>
      </x:c>
      <x:c r="L13" s="26" t="str">
        <x:v>Selected low-current Kingbright MPNs in KiCad BOM; mass allowance remains unmeasured.</x:v>
      </x:c>
    </x:row>
    <x:row r="14" ht="90" customHeight="1">
      <x:c r="A14" s="2" t="str">
        <x:v>Populated carrier connectors</x:v>
      </x:c>
      <x:c r="B14" s="11" t="n">
        <x:v>3</x:v>
      </x:c>
      <x:c r="C14" s="21"/>
      <x:c r="D14" s="22" t="str">
        <x:f>IF(COUNT(B14,C14)=2,B14*C14,"Missing")</x:f>
        <x:v>Missing</x:v>
      </x:c>
      <x:c r="E14" s="12" t="n">
        <x:v>1</x:v>
      </x:c>
      <x:c r="F14" s="14" t="n">
        <x:f>IF(COUNT(B14,E14)=2,B14*E14,"Missing")</x:f>
        <x:v>3</x:v>
      </x:c>
      <x:c r="G14" s="2" t="str">
        <x:v>Quote needed</x:v>
      </x:c>
      <x:c r="H14" s="2" t="str">
        <x:v>Allowance</x:v>
      </x:c>
      <x:c r="I14" s="2" t="str">
        <x:v>J1–J3; J4 DNP</x:v>
      </x:c>
      <x:c r="J14" s="2"/>
      <x:c r="K14" s="26" t="str">
        <x:v>Current v4 schematic</x:v>
      </x:c>
      <x:c r="L14" s="26" t="str">
        <x:v>J1/J2 0022272021; J3 HTSW-102-07-T-S with SNT-100-BK-T shunt. 1 g/unit is an allowance; harness plugs counted separately.</x:v>
      </x:c>
    </x:row>
    <x:row r="15" ht="90" customHeight="1">
      <x:c r="A15" s="2" t="str">
        <x:v>Onboard controls</x:v>
      </x:c>
      <x:c r="B15" s="11" t="n">
        <x:v>2</x:v>
      </x:c>
      <x:c r="C15" s="21"/>
      <x:c r="D15" s="22" t="str">
        <x:f>IF(COUNT(B15,C15)=2,B15*C15,"Missing")</x:f>
        <x:v>Missing</x:v>
      </x:c>
      <x:c r="E15" s="12" t="n">
        <x:v>1</x:v>
      </x:c>
      <x:c r="F15" s="14" t="n">
        <x:f>IF(COUNT(B15,E15)=2,B15*E15,"Missing")</x:f>
        <x:v>2</x:v>
      </x:c>
      <x:c r="G15" s="2" t="str">
        <x:v>MPNs needed</x:v>
      </x:c>
      <x:c r="H15" s="2" t="str">
        <x:v>Allowance</x:v>
      </x:c>
      <x:c r="I15" s="2" t="str">
        <x:v>SW1–SW2</x:v>
      </x:c>
      <x:c r="J15" s="2"/>
      <x:c r="K15" s="26" t="str">
        <x:v>Current v4 schematic</x:v>
      </x:c>
      <x:c r="L15" s="26" t="str">
        <x:v>SW1 OS102011MS2QN1; SW2 PTS645SL50-2 LFS. Drawings/pin patterns checked for first prototype.</x:v>
      </x:c>
    </x:row>
    <x:row r="16" ht="90" customHeight="1">
      <x:c r="A16" s="2" t="str">
        <x:v>Bare plated test pads</x:v>
      </x:c>
      <x:c r="B16" s="11" t="n">
        <x:v>10</x:v>
      </x:c>
      <x:c r="C16" s="21" t="n">
        <x:v>0</x:v>
      </x:c>
      <x:c r="D16" s="22" t="n">
        <x:f>IF(COUNT(B16,C16)=2,B16*C16,"Missing")</x:f>
        <x:v>0</x:v>
      </x:c>
      <x:c r="E16" s="12" t="n">
        <x:v>0</x:v>
      </x:c>
      <x:c r="F16" s="14" t="n">
        <x:f>IF(COUNT(B16,E16)=2,B16*E16,"Missing")</x:f>
        <x:v>0</x:v>
      </x:c>
      <x:c r="G16" s="2" t="str">
        <x:v>No purchased part</x:v>
      </x:c>
      <x:c r="H16" s="2" t="str">
        <x:v>PCB included</x:v>
      </x:c>
      <x:c r="I16" s="2" t="str">
        <x:v>TP1–TP10</x:v>
      </x:c>
      <x:c r="J16" s="2"/>
      <x:c r="K16" s="26" t="str">
        <x:v>Current v4 schematic</x:v>
      </x:c>
      <x:c r="L16" s="26" t="str">
        <x:v>No test-pin hardware. Pad copper is included in PCB mass.</x:v>
      </x:c>
    </x:row>
    <x:row r="17" ht="90" customHeight="1">
      <x:c r="A17" s="2" t="str">
        <x:v>Kingston SDCIT2/8GB</x:v>
      </x:c>
      <x:c r="B17" s="11" t="n">
        <x:v>1</x:v>
      </x:c>
      <x:c r="C17" s="21"/>
      <x:c r="D17" s="22" t="str">
        <x:f>IF(COUNT(B17,C17)=2,B17*C17,"Missing")</x:f>
        <x:v>Missing</x:v>
      </x:c>
      <x:c r="E17" s="12" t="n">
        <x:v>0.5</x:v>
      </x:c>
      <x:c r="F17" s="14" t="n">
        <x:f>IF(COUNT(B17,E17)=2,B17*E17,"Missing")</x:f>
        <x:v>0.5</x:v>
      </x:c>
      <x:c r="G17" s="2" t="str">
        <x:v>Quote needed</x:v>
      </x:c>
      <x:c r="H17" s="2" t="str">
        <x:v>Allowance</x:v>
      </x:c>
      <x:c r="I17" s="2" t="str">
        <x:v>U1 socket</x:v>
      </x:c>
      <x:c r="J17" s="2"/>
      <x:c r="K17" s="26" t="str">
        <x:v>https://www.kingston.com/datasheets/SDCIT2_en.pdf</x:v>
      </x:c>
      <x:c r="L17" s="26" t="str">
        <x:v>Industrial microSD -40 to +85 C. 0.5 g allowance; exact write/inrush maximum and cold endurance unverified.</x:v>
      </x:c>
    </x:row>
    <x:row r="18" ht="90" customHeight="1">
      <x:c r="A18" s="2" t="str">
        <x:v>External power switch</x:v>
      </x:c>
      <x:c r="B18" s="11" t="n">
        <x:v>1</x:v>
      </x:c>
      <x:c r="C18" s="21" t="n">
        <x:v>11.07</x:v>
      </x:c>
      <x:c r="D18" s="22" t="n">
        <x:f>IF(COUNT(B18,C18)=2,B18*C18,"Missing")</x:f>
        <x:v>11.07</x:v>
      </x:c>
      <x:c r="E18" s="12" t="n">
        <x:v>4</x:v>
      </x:c>
      <x:c r="F18" s="14" t="n">
        <x:f>IF(COUNT(B18,E18)=2,B18*E18,"Missing")</x:f>
        <x:v>4</x:v>
      </x:c>
      <x:c r="G18" s="2" t="str">
        <x:v>Supplier snapshot</x:v>
      </x:c>
      <x:c r="H18" s="2" t="str">
        <x:v>Allowance</x:v>
      </x:c>
      <x:c r="I18" s="2" t="str">
        <x:v>C&amp;K 7101SYZQE</x:v>
      </x:c>
      <x:c r="J18" s="2"/>
      <x:c r="K18" s="26" t="str">
        <x:v>https://www.digikey.com/en/products/detail/c-k/7101SYZQE/25966</x:v>
      </x:c>
      <x:c r="L18" s="26" t="str">
        <x:v>USD 11.07 single-unit snapshot, 2026-10-21; tax/shipping excluded. -30 to +85 C, first room-temperature prototype. 4 g remains an allowance.</x:v>
      </x:c>
    </x:row>
    <x:row r="19" ht="90" customHeight="1">
      <x:c r="A19" s="2" t="str">
        <x:v>Wiring / mating plugs lot</x:v>
      </x:c>
      <x:c r="B19" s="11" t="n">
        <x:v>1</x:v>
      </x:c>
      <x:c r="C19" s="21"/>
      <x:c r="D19" s="22" t="str">
        <x:f>IF(COUNT(B19,C19)=2,B19*C19,"Missing")</x:f>
        <x:v>Missing</x:v>
      </x:c>
      <x:c r="E19" s="12" t="n">
        <x:v>10</x:v>
      </x:c>
      <x:c r="F19" s="14" t="n">
        <x:f>IF(COUNT(B19,E19)=2,B19*E19,"Missing")</x:f>
        <x:v>10</x:v>
      </x:c>
      <x:c r="G19" s="2" t="str">
        <x:v>Quote needed</x:v>
      </x:c>
      <x:c r="H19" s="2" t="str">
        <x:v>Allowance</x:v>
      </x:c>
      <x:c r="I19" s="2" t="str">
        <x:v>Harness</x:v>
      </x:c>
      <x:c r="J19" s="2"/>
      <x:c r="K19" s="26" t="str">
        <x:v>Assembly plan pending</x:v>
      </x:c>
      <x:c r="L19" s="26" t="str">
        <x:v>10 g allowance for added wire, plugs, crimps, 025101.5MXL pack fuse, insulation and strain relief. Holder leads counted in BH4AAW. Tool cost not included.</x:v>
      </x:c>
    </x:row>
    <x:row r="20" ht="90" customHeight="1">
      <x:c r="A20" s="2" t="str">
        <x:v>Retention / spacers / screws lot</x:v>
      </x:c>
      <x:c r="B20" s="11" t="n">
        <x:v>1</x:v>
      </x:c>
      <x:c r="C20" s="21"/>
      <x:c r="D20" s="22" t="str">
        <x:f>IF(COUNT(B20,C20)=2,B20*C20,"Missing")</x:f>
        <x:v>Missing</x:v>
      </x:c>
      <x:c r="E20" s="12" t="n">
        <x:v>10</x:v>
      </x:c>
      <x:c r="F20" s="14" t="n">
        <x:f>IF(COUNT(B20,E20)=2,B20*E20,"Missing")</x:f>
        <x:v>10</x:v>
      </x:c>
      <x:c r="G20" s="2" t="str">
        <x:v>Select hardware</x:v>
      </x:c>
      <x:c r="H20" s="2" t="str">
        <x:v>Allowance</x:v>
      </x:c>
      <x:c r="I20" s="2" t="str">
        <x:v>Modules and H1–H4</x:v>
      </x:c>
      <x:c r="J20" s="2"/>
      <x:c r="K20" s="26" t="str">
        <x:v>docs/MODULE_ASSEMBLY_PLAN.md</x:v>
      </x:c>
      <x:c r="L20" s="26" t="str">
        <x:v>All carrier and module mounting hardware; verify magnetism and installed fit.</x:v>
      </x:c>
    </x:row>
    <x:row r="21" ht="90" customHeight="1">
      <x:c r="A21" s="2" t="str">
        <x:v>4 L91 cells + BH4AAW holder</x:v>
      </x:c>
      <x:c r="B21" s="11" t="n">
        <x:v>1</x:v>
      </x:c>
      <x:c r="C21" s="21"/>
      <x:c r="D21" s="22" t="str">
        <x:f>IF(COUNT(B21,C21)=2,B21*C21,"Missing")</x:f>
        <x:v>Missing</x:v>
      </x:c>
      <x:c r="E21" s="12" t="n">
        <x:v>75.05</x:v>
      </x:c>
      <x:c r="F21" s="14" t="n">
        <x:f>IF(COUNT(B21,E21)=2,B21*E21,"Missing")</x:f>
        <x:v>75.05</x:v>
      </x:c>
      <x:c r="G21" s="2" t="str">
        <x:v>Quote needed</x:v>
      </x:c>
      <x:c r="H21" s="2" t="str">
        <x:v>Published + estimate</x:v>
      </x:c>
      <x:c r="I21" s="2" t="str">
        <x:v>Battery</x:v>
      </x:c>
      <x:c r="J21" s="2"/>
      <x:c r="K21" s="26" t="str">
        <x:v>Energizer L91: 15 g/cell; MPD BH4AAW: estimated 15.05 g, manufacturer drawings.</x:v>
      </x:c>
      <x:c r="L21" s="26" t="str">
        <x:v>60 g cells + 15.05 g wired holder. Excludes plug, added harness and retention (other rows). Complete pack not yet qualified.</x:v>
      </x:c>
    </x:row>
    <x:row r="22" ht="46" customHeight="1">
      <x:c r="A22" s="2" t="str">
        <x:v>Enclosure</x:v>
      </x:c>
      <x:c r="B22" s="11" t="n">
        <x:v>1</x:v>
      </x:c>
      <x:c r="C22" s="21"/>
      <x:c r="D22" s="22" t="str">
        <x:f>IF(COUNT(B22,C22)=2,B22*C22,"Missing")</x:f>
        <x:v>Missing</x:v>
      </x:c>
      <x:c r="E22" s="12"/>
      <x:c r="F22" s="14" t="str">
        <x:f>IF(COUNT(B22,E22)=2,B22*E22,"Missing")</x:f>
        <x:v>Missing</x:v>
      </x:c>
      <x:c r="G22" s="2" t="str">
        <x:v>Design/quote</x:v>
      </x:c>
      <x:c r="H22" s="2" t="str">
        <x:v>Missing</x:v>
      </x:c>
      <x:c r="I22" s="2" t="str">
        <x:v>Enclosure</x:v>
      </x:c>
      <x:c r="J22" s="2"/>
      <x:c r="K22" s="26" t="str">
        <x:v>Lead: as small as possible while functional</x:v>
      </x:c>
      <x:c r="L22" s="26" t="str">
        <x:v>Define dimensions after battery, connector and retention decisions.</x:v>
      </x:c>
    </x:row>
    <x:row r="23" ht="46" customHeight="1">
      <x:c r="A23" s="2" t="str">
        <x:v>Insulation / vent / payload mounting</x:v>
      </x:c>
      <x:c r="B23" s="11" t="n">
        <x:v>1</x:v>
      </x:c>
      <x:c r="C23" s="21"/>
      <x:c r="D23" s="22" t="str">
        <x:f>IF(COUNT(B23,C23)=2,B23*C23,"Missing")</x:f>
        <x:v>Missing</x:v>
      </x:c>
      <x:c r="E23" s="12"/>
      <x:c r="F23" s="14" t="str">
        <x:f>IF(COUNT(B23,E23)=2,B23*E23,"Missing")</x:f>
        <x:v>Missing</x:v>
      </x:c>
      <x:c r="G23" s="2" t="str">
        <x:v>Define scope</x:v>
      </x:c>
      <x:c r="H23" s="2" t="str">
        <x:v>Missing</x:v>
      </x:c>
      <x:c r="I23" s="2" t="str">
        <x:v>Integration</x:v>
      </x:c>
      <x:c r="J23" s="2"/>
      <x:c r="K23" s="26" t="str">
        <x:v>Operating environment and payload mounting pending</x:v>
      </x:c>
      <x:c r="L23" s="26" t="str">
        <x:v>Enter zero only if explicitly unnecessary; not currently zero.</x:v>
      </x:c>
    </x:row>
    <x:row r="24" ht="46" customHeight="1">
      <x:c r="A24" s="2" t="str">
        <x:v>Shipping / minimum-order extras</x:v>
      </x:c>
      <x:c r="B24" s="11" t="n">
        <x:v>1</x:v>
      </x:c>
      <x:c r="C24" s="21"/>
      <x:c r="D24" s="22" t="str">
        <x:f>IF(COUNT(B24,C24)=2,B24*C24,"Missing")</x:f>
        <x:v>Missing</x:v>
      </x:c>
      <x:c r="E24" s="12" t="n">
        <x:v>0</x:v>
      </x:c>
      <x:c r="F24" s="14" t="n">
        <x:f>IF(COUNT(B24,E24)=2,B24*E24,"Missing")</x:f>
        <x:v>0</x:v>
      </x:c>
      <x:c r="G24" s="2" t="str">
        <x:v>Quote needed</x:v>
      </x:c>
      <x:c r="H24" s="2" t="str">
        <x:v>Not flown</x:v>
      </x:c>
      <x:c r="I24" s="2" t="str">
        <x:v>Procurement</x:v>
      </x:c>
      <x:c r="J24" s="2"/>
      <x:c r="K24" s="26" t="str">
        <x:v>Supplier carts not created</x:v>
      </x:c>
      <x:c r="L24" s="26" t="str">
        <x:v>Include fabrication lot minimum and extra purchased units here; exclude from flight mass.</x:v>
      </x:c>
    </x:row>
    <x:row r="25" ht="46" customHeight="1">
      <x:c r="A25" s="2" t="str">
        <x:v>Taxes / duties</x:v>
      </x:c>
      <x:c r="B25" s="11" t="n">
        <x:v>1</x:v>
      </x:c>
      <x:c r="C25" s="21"/>
      <x:c r="D25" s="22" t="str">
        <x:f>IF(COUNT(B25,C25)=2,B25*C25,"Missing")</x:f>
        <x:v>Missing</x:v>
      </x:c>
      <x:c r="E25" s="12" t="n">
        <x:v>0</x:v>
      </x:c>
      <x:c r="F25" s="14" t="n">
        <x:f>IF(COUNT(B25,E25)=2,B25*E25,"Missing")</x:f>
        <x:v>0</x:v>
      </x:c>
      <x:c r="G25" s="2" t="str">
        <x:v>Quote needed</x:v>
      </x:c>
      <x:c r="H25" s="2" t="str">
        <x:v>Not flown</x:v>
      </x:c>
      <x:c r="I25" s="2" t="str">
        <x:v>Procurement</x:v>
      </x:c>
      <x:c r="J25" s="2"/>
      <x:c r="K25" s="26" t="str">
        <x:v>Destination and final order pending</x:v>
      </x:c>
      <x:c r="L25" s="26" t="str">
        <x:v>Actual payable taxes, not assumed zero.</x:v>
      </x:c>
    </x:row>
    <x:row r="26" ht="46" customHeight="1">
      <x:c r="A26" s="2" t="str">
        <x:v>Prototype spares / rework</x:v>
      </x:c>
      <x:c r="B26" s="11" t="n">
        <x:v>1</x:v>
      </x:c>
      <x:c r="C26" s="21"/>
      <x:c r="D26" s="22" t="str">
        <x:f>IF(COUNT(B26,C26)=2,B26*C26,"Missing")</x:f>
        <x:v>Missing</x:v>
      </x:c>
      <x:c r="E26" s="12" t="n">
        <x:v>0</x:v>
      </x:c>
      <x:c r="F26" s="14" t="n">
        <x:f>IF(COUNT(B26,E26)=2,B26*E26,"Missing")</x:f>
        <x:v>0</x:v>
      </x:c>
      <x:c r="G26" s="2" t="str">
        <x:v>Agree allowance</x:v>
      </x:c>
      <x:c r="H26" s="2" t="str">
        <x:v>Not flown</x:v>
      </x:c>
      <x:c r="I26" s="2" t="str">
        <x:v>Procurement</x:v>
      </x:c>
      <x:c r="J26" s="2"/>
      <x:c r="K26" s="26" t="str">
        <x:v>Team purchasing decision pending</x:v>
      </x:c>
      <x:c r="L26" s="26" t="str">
        <x:v>Extra procurement allowance; not installed flight mass.</x:v>
      </x:c>
    </x:row>
    <x:row r="27" ht="23" customHeight="1">
      <x:c r="A27" s="2"/>
      <x:c r="B27" s="2"/>
      <x:c r="C27" s="22"/>
      <x:c r="D27" s="22"/>
      <x:c r="E27" s="14"/>
      <x:c r="F27" s="14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2"/>
      <x:c r="D28" s="22"/>
      <x:c r="E28" s="14"/>
      <x:c r="F28" s="14"/>
      <x:c r="G28" s="2"/>
      <x:c r="H28" s="2"/>
      <x:c r="I28" s="2"/>
      <x:c r="J28" s="2"/>
      <x:c r="K28" s="2"/>
      <x:c r="L28" s="2"/>
    </x:row>
    <x:row r="29" ht="23" customHeight="1">
      <x:c r="A29" s="2" t="str">
        <x:v>Known-cost subtotal only ($)</x:v>
      </x:c>
      <x:c r="B29" s="2"/>
      <x:c r="C29" s="22"/>
      <x:c r="D29" s="22" t="n">
        <x:f>SUM(D5:D26)</x:f>
        <x:v>129.37</x:v>
      </x:c>
      <x:c r="E29" s="14"/>
      <x:c r="F29" s="14"/>
      <x:c r="G29" s="2"/>
      <x:c r="H29" s="2"/>
      <x:c r="I29" s="2"/>
      <x:c r="J29" s="2"/>
      <x:c r="K29" s="2" t="str">
        <x:v>Subtotal excludes unpriced items; full procurement cost is shown separately.</x:v>
      </x:c>
      <x:c r="L29" s="2"/>
    </x:row>
    <x:row r="30" ht="23" customHeight="1">
      <x:c r="A30" s="2" t="str">
        <x:v>Full prototype procurement ($)</x:v>
      </x:c>
      <x:c r="B30" s="2"/>
      <x:c r="C30" s="22"/>
      <x:c r="D30" s="22" t="str">
        <x:f>IF(COUNT(D5:D26)=22,SUM(D5:D26),"Incomplete")</x:f>
        <x:v>Incomplete</x:v>
      </x:c>
      <x:c r="E30" s="14"/>
      <x:c r="F30" s="14"/>
      <x:c r="G30" s="2"/>
      <x:c r="H30" s="2"/>
      <x:c r="I30" s="2"/>
      <x:c r="J30" s="2"/>
      <x:c r="K30" s="2"/>
      <x:c r="L30" s="2"/>
    </x:row>
    <x:row r="31" ht="23" customHeight="1">
      <x:c r="A31" s="2" t="str">
        <x:v>Missing cost lines</x:v>
      </x:c>
      <x:c r="B31" s="2"/>
      <x:c r="C31" s="2"/>
      <x:c r="D31" s="2" t="n">
        <x:f>22-COUNT(D5:D26)</x:f>
        <x:v>15</x:v>
      </x:c>
      <x:c r="E31" s="14"/>
      <x:c r="F31" s="14"/>
      <x:c r="G31" s="2"/>
      <x:c r="H31" s="2"/>
      <x:c r="I31" s="2"/>
      <x:c r="J31" s="2"/>
      <x:c r="K31" s="2"/>
      <x:c r="L31" s="2"/>
    </x:row>
    <x:row r="32" ht="23" customHeight="1">
      <x:c r="A32" s="2" t="str">
        <x:v>Mass subtotal with inputs (g)</x:v>
      </x:c>
      <x:c r="B32" s="2"/>
      <x:c r="C32" s="2"/>
      <x:c r="D32" s="2"/>
      <x:c r="E32" s="14"/>
      <x:c r="F32" s="14" t="n">
        <x:f>SUM(F5:F26)</x:f>
        <x:v>170.25</x:v>
      </x:c>
      <x:c r="G32" s="2"/>
      <x:c r="H32" s="2"/>
      <x:c r="I32" s="2"/>
      <x:c r="J32" s="2"/>
      <x:c r="K32" s="2" t="str">
        <x:v>Subtotal includes allowances; missing mass lines are counted below.</x:v>
      </x:c>
      <x:c r="L32" s="2"/>
    </x:row>
    <x:row r="33" ht="23" customHeight="1">
      <x:c r="A33" s="2" t="str">
        <x:v>Complete installed mass (g)</x:v>
      </x:c>
      <x:c r="B33" s="2"/>
      <x:c r="C33" s="2"/>
      <x:c r="D33" s="2"/>
      <x:c r="E33" s="14"/>
      <x:c r="F33" s="14" t="str">
        <x:f>IF(COUNT(F5:F26)=22,SUM(F5:F26),"Incomplete")</x:f>
        <x:v>Incomplete</x:v>
      </x:c>
      <x:c r="G33" s="2"/>
      <x:c r="H33" s="2"/>
      <x:c r="I33" s="2"/>
      <x:c r="J33" s="2"/>
      <x:c r="K33" s="2"/>
      <x:c r="L33" s="2"/>
    </x:row>
    <x:row r="34" ht="23" customHeight="1">
      <x:c r="A34" s="2" t="str">
        <x:v>Missing mass lines</x:v>
      </x:c>
      <x:c r="B34" s="2"/>
      <x:c r="C34" s="2"/>
      <x:c r="D34" s="2"/>
      <x:c r="E34" s="14"/>
      <x:c r="F34" s="23" t="n">
        <x:f>22-COUNT(F5:F26)</x:f>
        <x:v>3</x:v>
      </x:c>
      <x:c r="G34" s="2"/>
      <x:c r="H34" s="2"/>
      <x:c r="I34" s="2"/>
      <x:c r="J34" s="2"/>
      <x:c r="K34" s="2"/>
      <x:c r="L34" s="2"/>
    </x:row>
    <x:row r="35" ht="23" customHeight="1">
      <x:c r="A35" s="2" t="str">
        <x:v>Published module mass subset (g)</x:v>
      </x:c>
      <x:c r="B35" s="2"/>
      <x:c r="C35" s="2"/>
      <x:c r="D35" s="2"/>
      <x:c r="E35" s="14"/>
      <x:c r="F35" s="14" t="n">
        <x:f>SUMIFS(F5:F26,H5:H26,"Published")</x:f>
        <x:v>12.5</x:v>
      </x:c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 t="str">
        <x:v>Amber cells are editable inputs. Published masses, engineering allowances and missing values are distinguished.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 t="str">
        <x:v>Confirm price, stock, exact MPNs, batch minimums and included headers before ordering. No order placed.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 t="str">
        <x:v>Reference budget from the lead is a different payload. Its pumps/heaters, two-hour duration and 37 Wh pack are excluded.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</x:sheetData>
  <x:conditionalFormatting sqref="C5:C26">
    <x:cfRule type="containsBlanks" dxfId="2" priority="1"/>
  </x:conditionalFormatting>
  <x:conditionalFormatting sqref="E5:E26">
    <x:cfRule type="containsBlanks" dxfId="3" priority="2"/>
  </x:conditionalFormatting>
  <x:pageMargins left="0.7" right="0.7" top="0.75" bottom="0.75" header="0.3" footer="0.3"/>
</x:worksheet>
</file>